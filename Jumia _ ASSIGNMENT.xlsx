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ccountsreceivable\Downloads\"/>
    </mc:Choice>
  </mc:AlternateContent>
  <bookViews>
    <workbookView xWindow="-120" yWindow="-120" windowWidth="20730" windowHeight="11160" activeTab="1"/>
  </bookViews>
  <sheets>
    <sheet name="Descriptive  Anal" sheetId="4" r:id="rId1"/>
    <sheet name="DASHBOARD" sheetId="12" r:id="rId2"/>
    <sheet name="Excel_jumia (1) (1)" sheetId="1" r:id="rId3"/>
    <sheet name="Discount% vs Number of reviews" sheetId="5" r:id="rId4"/>
    <sheet name="Rating and Number of Reviews" sheetId="6" r:id="rId5"/>
    <sheet name="Top 10 Product  highest disc." sheetId="7" r:id="rId6"/>
    <sheet name="Top 10 by high reviews" sheetId="8" r:id="rId7"/>
    <sheet name="Top and Bottom 5 rated" sheetId="9" r:id="rId8"/>
    <sheet name="Comparison High and Low Discoun" sheetId="13" r:id="rId9"/>
    <sheet name="Top 5 least rated" sheetId="11" r:id="rId10"/>
  </sheets>
  <definedNames>
    <definedName name="_xlnm._FilterDatabase" localSheetId="2" hidden="1">'Excel_jumia (1) (1)'!$A$1:$K$110</definedName>
    <definedName name="Slicer_Discount_Category">#N/A</definedName>
    <definedName name="Slicer_Product">#N/A</definedName>
    <definedName name="Slicer_Rating_Category">#N/A</definedName>
  </definedNames>
  <calcPr calcId="162913"/>
  <pivotCaches>
    <pivotCache cacheId="16"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78" i="1" l="1"/>
  <c r="J78" i="1"/>
  <c r="E78" i="1"/>
  <c r="D78" i="1"/>
  <c r="K58" i="1"/>
  <c r="J58" i="1"/>
  <c r="E58" i="1"/>
  <c r="I58" i="1" s="1"/>
  <c r="D58" i="1"/>
  <c r="K59" i="1"/>
  <c r="J59" i="1"/>
  <c r="E59" i="1"/>
  <c r="D59" i="1"/>
  <c r="K109" i="1"/>
  <c r="J109" i="1"/>
  <c r="E109" i="1"/>
  <c r="D109" i="1"/>
  <c r="K108" i="1"/>
  <c r="J108" i="1"/>
  <c r="E108" i="1"/>
  <c r="I108" i="1" s="1"/>
  <c r="D108" i="1"/>
  <c r="K92" i="1"/>
  <c r="J92" i="1"/>
  <c r="E92" i="1"/>
  <c r="D92" i="1"/>
  <c r="K91" i="1"/>
  <c r="J91" i="1"/>
  <c r="E91" i="1"/>
  <c r="D91" i="1"/>
  <c r="K95" i="1"/>
  <c r="J95" i="1"/>
  <c r="E95" i="1"/>
  <c r="I95" i="1" s="1"/>
  <c r="D95" i="1"/>
  <c r="K110" i="1"/>
  <c r="J110" i="1"/>
  <c r="E110" i="1"/>
  <c r="D110" i="1"/>
  <c r="K87" i="1"/>
  <c r="J87" i="1"/>
  <c r="E87" i="1"/>
  <c r="D87" i="1"/>
  <c r="K8" i="1"/>
  <c r="J8" i="1"/>
  <c r="I8" i="1"/>
  <c r="E8" i="1"/>
  <c r="D8" i="1"/>
  <c r="K85" i="1"/>
  <c r="J85" i="1"/>
  <c r="E85" i="1"/>
  <c r="I85" i="1" s="1"/>
  <c r="D85" i="1"/>
  <c r="K72" i="1"/>
  <c r="J72" i="1"/>
  <c r="E72" i="1"/>
  <c r="D72" i="1"/>
  <c r="K102" i="1"/>
  <c r="J102" i="1"/>
  <c r="I102" i="1"/>
  <c r="E102" i="1"/>
  <c r="D102" i="1"/>
  <c r="K71" i="1"/>
  <c r="J71" i="1"/>
  <c r="E71" i="1"/>
  <c r="D71" i="1"/>
  <c r="K107" i="1"/>
  <c r="J107" i="1"/>
  <c r="E107" i="1"/>
  <c r="D107" i="1"/>
  <c r="I107" i="1" s="1"/>
  <c r="K100" i="1"/>
  <c r="J100" i="1"/>
  <c r="E100" i="1"/>
  <c r="D100" i="1"/>
  <c r="K65" i="1"/>
  <c r="J65" i="1"/>
  <c r="E65" i="1"/>
  <c r="D65" i="1"/>
  <c r="K77" i="1"/>
  <c r="J77" i="1"/>
  <c r="E77" i="1"/>
  <c r="D77" i="1"/>
  <c r="K75" i="1"/>
  <c r="J75" i="1"/>
  <c r="E75" i="1"/>
  <c r="I75" i="1" s="1"/>
  <c r="D75" i="1"/>
  <c r="K74" i="1"/>
  <c r="J74" i="1"/>
  <c r="E74" i="1"/>
  <c r="D74" i="1"/>
  <c r="K64" i="1"/>
  <c r="J64" i="1"/>
  <c r="E64" i="1"/>
  <c r="D64" i="1"/>
  <c r="K82" i="1"/>
  <c r="J82" i="1"/>
  <c r="E82" i="1"/>
  <c r="D82" i="1"/>
  <c r="I82" i="1" s="1"/>
  <c r="K98" i="1"/>
  <c r="J98" i="1"/>
  <c r="E98" i="1"/>
  <c r="D98" i="1"/>
  <c r="K99" i="1"/>
  <c r="J99" i="1"/>
  <c r="E99" i="1"/>
  <c r="D99" i="1"/>
  <c r="K70" i="1"/>
  <c r="J70" i="1"/>
  <c r="E70" i="1"/>
  <c r="D70" i="1"/>
  <c r="K97" i="1"/>
  <c r="J97" i="1"/>
  <c r="E97" i="1"/>
  <c r="D97" i="1"/>
  <c r="K34" i="1"/>
  <c r="J34" i="1"/>
  <c r="E34" i="1"/>
  <c r="D34" i="1"/>
  <c r="K106" i="1"/>
  <c r="J106" i="1"/>
  <c r="E106" i="1"/>
  <c r="D106" i="1"/>
  <c r="K90" i="1"/>
  <c r="J90" i="1"/>
  <c r="E90" i="1"/>
  <c r="D90" i="1"/>
  <c r="K5" i="1"/>
  <c r="J5" i="1"/>
  <c r="E5" i="1"/>
  <c r="D5" i="1"/>
  <c r="K43" i="1"/>
  <c r="J43" i="1"/>
  <c r="E43" i="1"/>
  <c r="D43" i="1"/>
  <c r="K69" i="1"/>
  <c r="J69" i="1"/>
  <c r="E69" i="1"/>
  <c r="D69" i="1"/>
  <c r="K101" i="1"/>
  <c r="J101" i="1"/>
  <c r="E101" i="1"/>
  <c r="D101" i="1"/>
  <c r="K81" i="1"/>
  <c r="J81" i="1"/>
  <c r="E81" i="1"/>
  <c r="D81" i="1"/>
  <c r="K76" i="1"/>
  <c r="J76" i="1"/>
  <c r="E76" i="1"/>
  <c r="D76" i="1"/>
  <c r="K57" i="1"/>
  <c r="J57" i="1"/>
  <c r="E57" i="1"/>
  <c r="D57" i="1"/>
  <c r="K54" i="1"/>
  <c r="J54" i="1"/>
  <c r="E54" i="1"/>
  <c r="D54" i="1"/>
  <c r="K44" i="1"/>
  <c r="J44" i="1"/>
  <c r="E44" i="1"/>
  <c r="D44" i="1"/>
  <c r="K53" i="1"/>
  <c r="J53" i="1"/>
  <c r="E53" i="1"/>
  <c r="D53" i="1"/>
  <c r="I53" i="1" s="1"/>
  <c r="K46" i="1"/>
  <c r="J46" i="1"/>
  <c r="E46" i="1"/>
  <c r="D46" i="1"/>
  <c r="K50" i="1"/>
  <c r="J50" i="1"/>
  <c r="E50" i="1"/>
  <c r="D50" i="1"/>
  <c r="K45" i="1"/>
  <c r="J45" i="1"/>
  <c r="E45" i="1"/>
  <c r="D45" i="1"/>
  <c r="K52" i="1"/>
  <c r="J52" i="1"/>
  <c r="E52" i="1"/>
  <c r="D52" i="1"/>
  <c r="K55" i="1"/>
  <c r="J55" i="1"/>
  <c r="E55" i="1"/>
  <c r="D55" i="1"/>
  <c r="K47" i="1"/>
  <c r="J47" i="1"/>
  <c r="E47" i="1"/>
  <c r="D47" i="1"/>
  <c r="K49" i="1"/>
  <c r="J49" i="1"/>
  <c r="E49" i="1"/>
  <c r="D49" i="1"/>
  <c r="K48" i="1"/>
  <c r="J48" i="1"/>
  <c r="E48" i="1"/>
  <c r="I48" i="1" s="1"/>
  <c r="D48" i="1"/>
  <c r="K56" i="1"/>
  <c r="J56" i="1"/>
  <c r="E56" i="1"/>
  <c r="D56" i="1"/>
  <c r="K42" i="1"/>
  <c r="J42" i="1"/>
  <c r="E42" i="1"/>
  <c r="I42" i="1" s="1"/>
  <c r="D42" i="1"/>
  <c r="K51" i="1"/>
  <c r="J51" i="1"/>
  <c r="E51" i="1"/>
  <c r="D51" i="1"/>
  <c r="K94" i="1"/>
  <c r="J94" i="1"/>
  <c r="E94" i="1"/>
  <c r="D94" i="1"/>
  <c r="K68" i="1"/>
  <c r="J68" i="1"/>
  <c r="E68" i="1"/>
  <c r="I68" i="1" s="1"/>
  <c r="D68" i="1"/>
  <c r="K73" i="1"/>
  <c r="J73" i="1"/>
  <c r="E73" i="1"/>
  <c r="D73" i="1"/>
  <c r="K80" i="1"/>
  <c r="J80" i="1"/>
  <c r="E80" i="1"/>
  <c r="D80" i="1"/>
  <c r="K86" i="1"/>
  <c r="J86" i="1"/>
  <c r="E86" i="1"/>
  <c r="I86" i="1" s="1"/>
  <c r="D86" i="1"/>
  <c r="K103" i="1"/>
  <c r="J103" i="1"/>
  <c r="E103" i="1"/>
  <c r="D103" i="1"/>
  <c r="K96" i="1"/>
  <c r="J96" i="1"/>
  <c r="E96" i="1"/>
  <c r="D96" i="1"/>
  <c r="K105" i="1"/>
  <c r="J105" i="1"/>
  <c r="I105" i="1"/>
  <c r="E105" i="1"/>
  <c r="D105" i="1"/>
  <c r="K63" i="1"/>
  <c r="J63" i="1"/>
  <c r="E63" i="1"/>
  <c r="I63" i="1" s="1"/>
  <c r="D63" i="1"/>
  <c r="K60" i="1"/>
  <c r="J60" i="1"/>
  <c r="E60" i="1"/>
  <c r="D60" i="1"/>
  <c r="K89" i="1"/>
  <c r="J89" i="1"/>
  <c r="I89" i="1"/>
  <c r="E89" i="1"/>
  <c r="D89" i="1"/>
  <c r="K67" i="1"/>
  <c r="J67" i="1"/>
  <c r="E67" i="1"/>
  <c r="D67" i="1"/>
  <c r="K93" i="1"/>
  <c r="J93" i="1"/>
  <c r="E93" i="1"/>
  <c r="D93" i="1"/>
  <c r="I93" i="1" s="1"/>
  <c r="K62" i="1"/>
  <c r="J62" i="1"/>
  <c r="E62" i="1"/>
  <c r="D62" i="1"/>
  <c r="K104" i="1"/>
  <c r="J104" i="1"/>
  <c r="E104" i="1"/>
  <c r="D104" i="1"/>
  <c r="K84" i="1"/>
  <c r="J84" i="1"/>
  <c r="E84" i="1"/>
  <c r="D84" i="1"/>
  <c r="K61" i="1"/>
  <c r="J61" i="1"/>
  <c r="E61" i="1"/>
  <c r="D61" i="1"/>
  <c r="K66" i="1"/>
  <c r="J66" i="1"/>
  <c r="E66" i="1"/>
  <c r="D66" i="1"/>
  <c r="K88" i="1"/>
  <c r="J88" i="1"/>
  <c r="E88" i="1"/>
  <c r="D88" i="1"/>
  <c r="K23" i="1"/>
  <c r="J23" i="1"/>
  <c r="E23" i="1"/>
  <c r="I23" i="1" s="1"/>
  <c r="D23" i="1"/>
  <c r="K29" i="1"/>
  <c r="J29" i="1"/>
  <c r="E29" i="1"/>
  <c r="D29" i="1"/>
  <c r="K2" i="1"/>
  <c r="J2" i="1"/>
  <c r="E2" i="1"/>
  <c r="D2" i="1"/>
  <c r="K7" i="1"/>
  <c r="J7" i="1"/>
  <c r="E7" i="1"/>
  <c r="D7" i="1"/>
  <c r="K24" i="1"/>
  <c r="J24" i="1"/>
  <c r="E24" i="1"/>
  <c r="D24" i="1"/>
  <c r="K15" i="1"/>
  <c r="J15" i="1"/>
  <c r="E15" i="1"/>
  <c r="D15" i="1"/>
  <c r="K28" i="1"/>
  <c r="J28" i="1"/>
  <c r="E28" i="1"/>
  <c r="D28" i="1"/>
  <c r="K14" i="1"/>
  <c r="J14" i="1"/>
  <c r="E14" i="1"/>
  <c r="D14" i="1"/>
  <c r="K27" i="1"/>
  <c r="J27" i="1"/>
  <c r="E27" i="1"/>
  <c r="D27" i="1"/>
  <c r="K79" i="1"/>
  <c r="J79" i="1"/>
  <c r="E79" i="1"/>
  <c r="D79" i="1"/>
  <c r="K32" i="1"/>
  <c r="J32" i="1"/>
  <c r="E32" i="1"/>
  <c r="D32" i="1"/>
  <c r="K39" i="1"/>
  <c r="J39" i="1"/>
  <c r="E39" i="1"/>
  <c r="D39" i="1"/>
  <c r="K40" i="1"/>
  <c r="J40" i="1"/>
  <c r="E40" i="1"/>
  <c r="D40" i="1"/>
  <c r="K17" i="1"/>
  <c r="J17" i="1"/>
  <c r="E17" i="1"/>
  <c r="D17" i="1"/>
  <c r="K26" i="1"/>
  <c r="J26" i="1"/>
  <c r="E26" i="1"/>
  <c r="D26" i="1"/>
  <c r="K25" i="1"/>
  <c r="J25" i="1"/>
  <c r="E25" i="1"/>
  <c r="D25" i="1"/>
  <c r="K36" i="1"/>
  <c r="J36" i="1"/>
  <c r="E36" i="1"/>
  <c r="D36" i="1"/>
  <c r="K83" i="1"/>
  <c r="J83" i="1"/>
  <c r="E83" i="1"/>
  <c r="D83" i="1"/>
  <c r="K41" i="1"/>
  <c r="J41" i="1"/>
  <c r="E41" i="1"/>
  <c r="D41" i="1"/>
  <c r="K16" i="1"/>
  <c r="J16" i="1"/>
  <c r="E16" i="1"/>
  <c r="D16" i="1"/>
  <c r="K20" i="1"/>
  <c r="J20" i="1"/>
  <c r="E20" i="1"/>
  <c r="D20" i="1"/>
  <c r="K4" i="1"/>
  <c r="J4" i="1"/>
  <c r="E4" i="1"/>
  <c r="D4" i="1"/>
  <c r="K6" i="1"/>
  <c r="J6" i="1"/>
  <c r="E6" i="1"/>
  <c r="D6" i="1"/>
  <c r="K3" i="1"/>
  <c r="J3" i="1"/>
  <c r="E3" i="1"/>
  <c r="D3" i="1"/>
  <c r="K30" i="1"/>
  <c r="J30" i="1"/>
  <c r="E30" i="1"/>
  <c r="D30" i="1"/>
  <c r="K21" i="1"/>
  <c r="J21" i="1"/>
  <c r="E21" i="1"/>
  <c r="I21" i="1" s="1"/>
  <c r="D21" i="1"/>
  <c r="K10" i="1"/>
  <c r="J10" i="1"/>
  <c r="E10" i="1"/>
  <c r="D10" i="1"/>
  <c r="K13" i="1"/>
  <c r="J13" i="1"/>
  <c r="E13" i="1"/>
  <c r="D13" i="1"/>
  <c r="K33" i="1"/>
  <c r="J33" i="1"/>
  <c r="E33" i="1"/>
  <c r="D33" i="1"/>
  <c r="K38" i="1"/>
  <c r="J38" i="1"/>
  <c r="E38" i="1"/>
  <c r="D38" i="1"/>
  <c r="K9" i="1"/>
  <c r="J9" i="1"/>
  <c r="E9" i="1"/>
  <c r="D9" i="1"/>
  <c r="K35" i="1"/>
  <c r="J35" i="1"/>
  <c r="E35" i="1"/>
  <c r="D35" i="1"/>
  <c r="K19" i="1"/>
  <c r="J19" i="1"/>
  <c r="E19" i="1"/>
  <c r="D19" i="1"/>
  <c r="K37" i="1"/>
  <c r="J37" i="1"/>
  <c r="E37" i="1"/>
  <c r="D37" i="1"/>
  <c r="K11" i="1"/>
  <c r="J11" i="1"/>
  <c r="E11" i="1"/>
  <c r="I11" i="1" s="1"/>
  <c r="D11" i="1"/>
  <c r="K12" i="1"/>
  <c r="J12" i="1"/>
  <c r="E12" i="1"/>
  <c r="D12" i="1"/>
  <c r="K18" i="1"/>
  <c r="J18" i="1"/>
  <c r="E18" i="1"/>
  <c r="D18" i="1"/>
  <c r="K31" i="1"/>
  <c r="J31" i="1"/>
  <c r="E31" i="1"/>
  <c r="I31" i="1" s="1"/>
  <c r="D31" i="1"/>
  <c r="K22" i="1"/>
  <c r="J22" i="1"/>
  <c r="E22" i="1"/>
  <c r="D22" i="1"/>
  <c r="I35" i="1" l="1"/>
  <c r="I33" i="1"/>
  <c r="I13" i="1"/>
  <c r="I6" i="1"/>
  <c r="I16" i="1"/>
  <c r="I36" i="1"/>
  <c r="I25" i="1"/>
  <c r="I26" i="1"/>
  <c r="I17" i="1"/>
  <c r="I39" i="1"/>
  <c r="I32" i="1"/>
  <c r="I27" i="1"/>
  <c r="I15" i="1"/>
  <c r="I7" i="1"/>
  <c r="I2" i="1"/>
  <c r="I29" i="1"/>
  <c r="I94" i="1"/>
  <c r="I49" i="1"/>
  <c r="I55" i="1"/>
  <c r="I52" i="1"/>
  <c r="I50" i="1"/>
  <c r="I44" i="1"/>
  <c r="I54" i="1"/>
  <c r="I76" i="1"/>
  <c r="I81" i="1"/>
  <c r="I101" i="1"/>
  <c r="I5" i="1"/>
  <c r="I70" i="1"/>
  <c r="I99" i="1"/>
  <c r="I98" i="1"/>
  <c r="I61" i="1"/>
  <c r="I62" i="1"/>
  <c r="I100" i="1"/>
  <c r="I88" i="1"/>
  <c r="I77" i="1"/>
  <c r="I69" i="1"/>
  <c r="I97" i="1"/>
  <c r="I72" i="1"/>
  <c r="I22" i="1"/>
  <c r="I30" i="1"/>
  <c r="I14" i="1"/>
  <c r="I24" i="1"/>
  <c r="I46" i="1"/>
  <c r="I80" i="1"/>
  <c r="I109" i="1"/>
  <c r="I19" i="1"/>
  <c r="I66" i="1"/>
  <c r="I67" i="1"/>
  <c r="I74" i="1"/>
  <c r="I71" i="1"/>
  <c r="I106" i="1"/>
  <c r="I28" i="1"/>
  <c r="I47" i="1"/>
  <c r="I18" i="1"/>
  <c r="I37" i="1"/>
  <c r="I4" i="1"/>
  <c r="I78" i="1"/>
  <c r="I104" i="1"/>
  <c r="I56" i="1"/>
  <c r="I65" i="1"/>
  <c r="I10" i="1"/>
  <c r="I40" i="1"/>
  <c r="I43" i="1"/>
  <c r="I3" i="1"/>
  <c r="I79" i="1"/>
  <c r="I45" i="1"/>
  <c r="I20" i="1"/>
  <c r="I83" i="1"/>
  <c r="I103" i="1"/>
  <c r="I73" i="1"/>
  <c r="I51" i="1"/>
  <c r="I57" i="1"/>
  <c r="I110" i="1"/>
  <c r="I92" i="1"/>
  <c r="I59" i="1"/>
  <c r="I9" i="1"/>
  <c r="I84" i="1"/>
  <c r="I64" i="1"/>
  <c r="I60" i="1"/>
  <c r="I90" i="1"/>
  <c r="I12" i="1"/>
  <c r="I41" i="1"/>
  <c r="I96" i="1"/>
  <c r="I87" i="1"/>
  <c r="I91" i="1"/>
  <c r="I38" i="1"/>
  <c r="I34" i="1"/>
</calcChain>
</file>

<file path=xl/sharedStrings.xml><?xml version="1.0" encoding="utf-8"?>
<sst xmlns="http://schemas.openxmlformats.org/spreadsheetml/2006/main" count="447" uniqueCount="149">
  <si>
    <t>Rating Category</t>
  </si>
  <si>
    <t>Discount Category</t>
  </si>
  <si>
    <t>Max of Current Price updated</t>
  </si>
  <si>
    <t>Average of Current Price updated</t>
  </si>
  <si>
    <t>Average of Discount</t>
  </si>
  <si>
    <t>Average of Old Price updated</t>
  </si>
  <si>
    <t>Average of Rating</t>
  </si>
  <si>
    <t>Min of Current Price updated</t>
  </si>
  <si>
    <t>Count of Product</t>
  </si>
  <si>
    <t>Average of Discount2</t>
  </si>
  <si>
    <t>Average of Rating2</t>
  </si>
  <si>
    <t>Average</t>
  </si>
  <si>
    <t>High Discount</t>
  </si>
  <si>
    <t>Low Discount</t>
  </si>
  <si>
    <t>Medium Discount</t>
  </si>
  <si>
    <t>Excellent</t>
  </si>
  <si>
    <t>Poor</t>
  </si>
  <si>
    <t>Grand Total</t>
  </si>
  <si>
    <t>Discount</t>
  </si>
  <si>
    <t>Average of Review</t>
  </si>
  <si>
    <t>Rating</t>
  </si>
  <si>
    <t>Product</t>
  </si>
  <si>
    <t>"Top 10" by "Sum of Discount Amount"</t>
  </si>
  <si>
    <t>5-PCS Stainless Steel Cooking Pot Set With Steamed Slices</t>
  </si>
  <si>
    <t>LASA 3 Tier Bamboo Shoe Bench Storage Shelf</t>
  </si>
  <si>
    <t>32PCS Portable Cordless Drill Set With Cyclic Battery Drive -26 Variable Speed</t>
  </si>
  <si>
    <t>LASA Aluminum Folding Truck Hand Cart - 68kg Max</t>
  </si>
  <si>
    <t>MultiFunctional Storage Rack Multi-layer Bookshelf</t>
  </si>
  <si>
    <t>LASA Stainless Steel Double Wall Mount Soap Dispenser - 500ml</t>
  </si>
  <si>
    <t>LED Eye Protection  Desk Lamp , Study, Reading, USB Fan - Double Pen Holder</t>
  </si>
  <si>
    <t>LASA FOLDING TABLE SERVING STAND</t>
  </si>
  <si>
    <t>Electric LED UV Mosquito Killer Lamp, Outdoor/Indoor Fly Killer Trap Light -USB</t>
  </si>
  <si>
    <t>4pcs Bathroom/Kitchen Towel Rack,Roll Paper Holder,Towel Bars,Hook</t>
  </si>
  <si>
    <t>13 In 1 Home Repair Tools Box Kit Set</t>
  </si>
  <si>
    <t>Portable Wine Table With Folding Round Table</t>
  </si>
  <si>
    <t>2PCS Ice Silk Square Cushion Cover Pillowcases - 65x65cm</t>
  </si>
  <si>
    <t>DIY File Folder, Office Drawer File Holder, Pen Holder, Desktop Storage Rack</t>
  </si>
  <si>
    <t>12V 19500rpm Handheld Electric Angle Grinder Tool - UK - Yellow/Black</t>
  </si>
  <si>
    <t>Memory Foam Neck Pillow Cover, With Pillow Core - 50*30cm</t>
  </si>
  <si>
    <t>Christmas Elk Fence Yard Lawn Decorations Cute For Holidays</t>
  </si>
  <si>
    <t>9pcs Gas Mask, For Painting, Dust, Formaldehyde Grinding, Polishing</t>
  </si>
  <si>
    <t>380ML USB Rechargeable Portable Small Blenders And Juicers</t>
  </si>
  <si>
    <t>3D Waterproof EVA Plastic Shower Curtain 1.8*2Mtrs</t>
  </si>
  <si>
    <t>Konka Healty Electric Kettle, 24-hour Heat Preservation,1.5L,800W, White</t>
  </si>
  <si>
    <t>Bedroom Simple Floor Hanging Clothes Rack Single Pole Hat Rack - White</t>
  </si>
  <si>
    <t>Large Lazy Inflatable Sofa Chairs PVC Lounger Seat Bag</t>
  </si>
  <si>
    <t>Weighing Scale Digital Bathroom Body Fat Scale USB-Black</t>
  </si>
  <si>
    <t>Wall Clock With Hidden Safe Box</t>
  </si>
  <si>
    <t>7-piece Set Of Storage Bags, Travel Storage Bags, Shoe Bags</t>
  </si>
  <si>
    <t>5m Waterproof Spherical LED String Lights Outdoor Ball Chain Lights Party Lighting Decoration Adjustable</t>
  </si>
  <si>
    <t>Artificial Potted Flowers Room Decorative Flowers (2 Pieces)</t>
  </si>
  <si>
    <t>Multifunction Laser Level With Adjustment Tripod</t>
  </si>
  <si>
    <t>6 Layers Steel Pipe Assembling Dustproof Storage Shoe Cabinet</t>
  </si>
  <si>
    <t>8in1 Screwdriver With LED Light</t>
  </si>
  <si>
    <t>Angle Measuring Tool Full Metal Multi Angle Measuring Tool</t>
  </si>
  <si>
    <t>2pcs Solar Street Light Flood Light Outdoor</t>
  </si>
  <si>
    <t>52 Pieces Cake Decorating Tool Set Gift Kit Baking Supplies</t>
  </si>
  <si>
    <t>Portable Mini Cordless Car Vacuum Cleaner - Blue</t>
  </si>
  <si>
    <t>53 Pieces/Set Yarn Knitting Crochet Hooks With Bag - Pansies</t>
  </si>
  <si>
    <t>137 Pieces Cake Decorating Tool Set Baking Supplies</t>
  </si>
  <si>
    <t>53Pcs/Set Yarn Knitting Crochet Hooks With Bag - Fortune Cat</t>
  </si>
  <si>
    <t>LED Wall Digital Alarm Clock Study Home 12 / 24H Clock Calendar</t>
  </si>
  <si>
    <t>2PCS/LOT Solar LED Outdoor Intelligent Light Controlled Wall Lamp</t>
  </si>
  <si>
    <t>Car Phone Charging Stand</t>
  </si>
  <si>
    <t>Christmas Fence Garden Decorations Outdoor For Holiday Home</t>
  </si>
  <si>
    <t>Portable Wardrobe Nonwoven With 3 Hanging Rods And 6 Storage Shelves</t>
  </si>
  <si>
    <t>12 Litre Black Insulated Lunch Box</t>
  </si>
  <si>
    <t>Cartoon Embroidered Mini Towel Bear Cotton Wash Cloth Hand 4pcs</t>
  </si>
  <si>
    <t>Portable Home Small Air Humidifier 3-Speed Fan - Green</t>
  </si>
  <si>
    <t>60W Hot Melt Glue Sprayer - Efficient And Stable Glue Dispensing</t>
  </si>
  <si>
    <t>Desk Foldable Fan Adjustable Fan Strong Wind 3 Gear Usb</t>
  </si>
  <si>
    <t>LED Solar Street Light-fake Camera</t>
  </si>
  <si>
    <t>1/2/3 Seater Elastic Sofa Cover,Living Room/Home Decor Chair Cover-Grey</t>
  </si>
  <si>
    <t>115  Piece Set Of Multifunctional Precision Screwdrivers</t>
  </si>
  <si>
    <t>Cute Christmas Fence Garden Decorations For Holiday Home</t>
  </si>
  <si>
    <t>Mythco 120COB Solar Wall Ligt With Motion Sensor And Remote Control 3 Modes</t>
  </si>
  <si>
    <t>3PCS Rotary Scraper Thermomix For Kitchen</t>
  </si>
  <si>
    <t>12 Litre Insulated Lunch Box Grey</t>
  </si>
  <si>
    <t>100 Pcs Crochet Hook Tool Set Knitting Hook Set With Box</t>
  </si>
  <si>
    <t>Baby Early Education Shape And Color Cognitive Training Toys</t>
  </si>
  <si>
    <t>Foldable Overbed Table/Desk</t>
  </si>
  <si>
    <t>40cm Gold DIY Acrylic Wall Sticker Clock</t>
  </si>
  <si>
    <t>Metal Decorative Hooks Key Hangers Entryway Wall Hooks Towel Hooks - Home</t>
  </si>
  <si>
    <t>Multifunctional Hanging Storage Box Storage Bag (4 Layers)</t>
  </si>
  <si>
    <t>LED Romantic Spaceship Starry Sky Projector,Children's Bedroom Night Light-Blue</t>
  </si>
  <si>
    <t>4M Float Switch Water Level Controller -Water Tank</t>
  </si>
  <si>
    <t>Wall-mounted Sticker Punch-free Plug Fixer</t>
  </si>
  <si>
    <t>Balloon Insert, Birthday Party Balloon Set, PU Leather</t>
  </si>
  <si>
    <t>120W Cordless Vacuum Cleaners Handheld Electric Vacuum Cleaner</t>
  </si>
  <si>
    <t>Simple Metal Dog Art Sculpture Decoration For Home Office</t>
  </si>
  <si>
    <t>Wrought Iron Bathroom Shelf Wall Mounted Free Punch Toilet Rack</t>
  </si>
  <si>
    <t>LASA Digital Thermometer And Hydrometer</t>
  </si>
  <si>
    <t>Intelligent  LED Body Sensor Wireless Lighting Night Light USB</t>
  </si>
  <si>
    <t>6 In 1 Bottle Can Opener Multifunctional Easy Opener</t>
  </si>
  <si>
    <t>Anti-Skid Absorbent Insulation Coaster  For Home Office</t>
  </si>
  <si>
    <t>VIC Wireless Vacuum Cleaner Dual Use For Home And Car 120W High Power Powerful</t>
  </si>
  <si>
    <t>5 Pieces/set Of Stainless Steel Induction Cooker Pots</t>
  </si>
  <si>
    <t>Agapeon Toothbrush Holder And Toothpaste Dispenser</t>
  </si>
  <si>
    <t>Household Pineapple Peeler Peeler</t>
  </si>
  <si>
    <t>Creative Owl Shape Keychain Black</t>
  </si>
  <si>
    <t>Brush &amp; Paintbrush Cleaning Tool Pink</t>
  </si>
  <si>
    <t>220V 60W Electric Soldering Iron Kits With Tools, Tips, And Multimeter</t>
  </si>
  <si>
    <t>Punch-free Great Load Bearing Bathroom Storage Rack Wall Shelf-White</t>
  </si>
  <si>
    <t>Cartoon Car Decoration Cute Individuality For Car Home Desk</t>
  </si>
  <si>
    <t>Watercolour Gold Foil Textured Print Pillow Cover</t>
  </si>
  <si>
    <t>Modern Sofa Throw Pillow Cover-45x45cm-Blue&amp;Red</t>
  </si>
  <si>
    <t>4 Piece Coloured Stainless Steel Kitchenware Set</t>
  </si>
  <si>
    <t>Office Chair Lumbar Back Support Spine Posture Correction Pillow Car Cushion</t>
  </si>
  <si>
    <t>Wall-Mounted Toothbrush Toothpaste Holder With Multiple Slots</t>
  </si>
  <si>
    <t>Electronic Digital Display Vernier Caliper</t>
  </si>
  <si>
    <t>7PCS Silicone Thumb Knife Finger Protector Vegetable Harvesting Knife</t>
  </si>
  <si>
    <t>Genebre 115 In 1 Screwdriver Repairing Tool Set For IPhone Cellphone Hand Tool</t>
  </si>
  <si>
    <t>Exfoliate And Exfoliate Face Towel - Black</t>
  </si>
  <si>
    <t>Classic Black Cat Cotton Hemp Pillow Case For Home Car</t>
  </si>
  <si>
    <t>Peacock  Throw Pillow Cushion Case For Home Car</t>
  </si>
  <si>
    <t>Metal Wall Clock Silver Dial Crystal Jewelry Round Home Decoration Wall Clock</t>
  </si>
  <si>
    <t>Black Simple Water Cup Wine Coaster Anti Slip Absorbent</t>
  </si>
  <si>
    <t>Wall Mount Automatic Toothpaste Dispenser Toothbrush Holder Toothpaste Squeezer</t>
  </si>
  <si>
    <t>Outdoor Portable Water Bottle With Medicine Box - 600ML - Black</t>
  </si>
  <si>
    <t>Sewing Machine Needle Threader Stitch Insertion Tool Automatic Quick Sewing</t>
  </si>
  <si>
    <t>Pilates Cloth Bag Waterproof Durable High Capacity Purple</t>
  </si>
  <si>
    <t>Cushion Silicone Butt Cushion Summer Ice Cushion Honeycomb Gel Cushion</t>
  </si>
  <si>
    <t>1PC Refrigerator Food Seal Pocket Fridge Bags</t>
  </si>
  <si>
    <t>3PCS Single Head Knitting Crochet Sweater Needle Set</t>
  </si>
  <si>
    <t>Shower Nozzle Cleaning Unclogging Needle Mini Crevice Small Hole Cleaning Brush</t>
  </si>
  <si>
    <t>Multi-purpose Rice Drainage Basket And Fruit And Vegetable Drainage Sieve</t>
  </si>
  <si>
    <t>Pen Grips For Kids Pen Grip Posture Correction Tool For Kids</t>
  </si>
  <si>
    <t>Shower Cap Wide Elastic Band Cover Reusable Bashroom Cap</t>
  </si>
  <si>
    <t>Portable Soap Dispenser Kitchen Detergent Press Box Kitchen Tools</t>
  </si>
  <si>
    <t>2 Pairs Cowhide Split Leather Work Gloves.32℉ Or Above Welding Gloves</t>
  </si>
  <si>
    <t>Thickening Multipurpose Non Stick Easy To Clean Heat Resistant Spoon Pad</t>
  </si>
  <si>
    <t>24 Grid Wall-mounted Sundries Organiser Fabric Closet Bag Storage Rack</t>
  </si>
  <si>
    <t>"Top 10"by "Sum of Review"</t>
  </si>
  <si>
    <t>"Top 5" by "Sum of Rating"</t>
  </si>
  <si>
    <t>"Bottom 5" by "Sum of Rating"</t>
  </si>
  <si>
    <t>Current price</t>
  </si>
  <si>
    <t>Old price</t>
  </si>
  <si>
    <t>Current Price updated</t>
  </si>
  <si>
    <t>Old Price updated</t>
  </si>
  <si>
    <t>Review</t>
  </si>
  <si>
    <t>Discount Amount</t>
  </si>
  <si>
    <t xml:space="preserve"> 1,620 -  1,980</t>
  </si>
  <si>
    <t xml:space="preserve"> 2,200 -  3,200</t>
  </si>
  <si>
    <t>Row Labels</t>
  </si>
  <si>
    <t>Column Labels</t>
  </si>
  <si>
    <t>Count of Review</t>
  </si>
  <si>
    <t>Count of Rating</t>
  </si>
  <si>
    <t>Sum of Discount</t>
  </si>
  <si>
    <t>Sum of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</si>
</sst>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 #,##0.00_ ;_ * \-#,##0.00_ ;_ * &quot;-&quot;??_ ;_ @_ "/>
    <numFmt numFmtId="165" formatCode="_ * #,##0_ ;_ * \-#,##0_ ;_ * &quot;-&quot;??_ ;_ @_ "/>
    <numFmt numFmtId="173" formatCode="0.0"/>
  </numFmts>
  <fonts count="6">
    <font>
      <sz val="11"/>
      <color theme="1"/>
      <name val="Calibri"/>
      <charset val="134"/>
      <scheme val="minor"/>
    </font>
    <font>
      <b/>
      <sz val="11"/>
      <color theme="1"/>
      <name val="Calibri"/>
      <family val="2"/>
      <scheme val="minor"/>
    </font>
    <font>
      <sz val="11"/>
      <color theme="1"/>
      <name val="Calibri"/>
      <family val="2"/>
      <scheme val="minor"/>
    </font>
    <font>
      <sz val="10"/>
      <color rgb="FF0A0A0A"/>
      <name val="Arial Unicode MS"/>
      <family val="2"/>
    </font>
    <font>
      <sz val="12"/>
      <color theme="1"/>
      <name val="Calibri"/>
      <family val="2"/>
      <scheme val="minor"/>
    </font>
    <font>
      <sz val="12"/>
      <color theme="1"/>
      <name val="Calibri"/>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164"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26">
    <xf numFmtId="0" fontId="0" fillId="0" borderId="0" xfId="0">
      <alignment vertical="center"/>
    </xf>
    <xf numFmtId="0" fontId="1" fillId="0" borderId="0" xfId="0" applyFont="1">
      <alignment vertical="center"/>
    </xf>
    <xf numFmtId="0" fontId="1" fillId="0" borderId="1" xfId="0" applyFont="1" applyBorder="1">
      <alignment vertical="center"/>
    </xf>
    <xf numFmtId="0" fontId="0" fillId="0" borderId="1" xfId="0" applyBorder="1">
      <alignment vertical="center"/>
    </xf>
    <xf numFmtId="0" fontId="0" fillId="0" borderId="0" xfId="0" pivotButton="1">
      <alignment vertical="center"/>
    </xf>
    <xf numFmtId="164" fontId="1" fillId="0" borderId="1" xfId="1" applyFont="1" applyBorder="1">
      <alignment vertical="center"/>
    </xf>
    <xf numFmtId="164" fontId="1" fillId="2" borderId="1" xfId="1" applyFont="1" applyFill="1" applyBorder="1">
      <alignment vertical="center"/>
    </xf>
    <xf numFmtId="164" fontId="0" fillId="0" borderId="1" xfId="1" applyFont="1" applyBorder="1">
      <alignment vertical="center"/>
    </xf>
    <xf numFmtId="164" fontId="0" fillId="0" borderId="1" xfId="1" applyFont="1" applyBorder="1" applyAlignment="1">
      <alignment vertical="center" wrapText="1"/>
    </xf>
    <xf numFmtId="164" fontId="0" fillId="2" borderId="1" xfId="1" applyFont="1" applyFill="1" applyBorder="1">
      <alignment vertical="center"/>
    </xf>
    <xf numFmtId="164" fontId="0" fillId="0" borderId="0" xfId="1" applyFont="1">
      <alignment vertical="center"/>
    </xf>
    <xf numFmtId="9" fontId="0" fillId="0" borderId="1" xfId="2" applyFont="1" applyBorder="1">
      <alignment vertical="center"/>
    </xf>
    <xf numFmtId="165" fontId="0" fillId="0" borderId="0" xfId="1" applyNumberFormat="1" applyFont="1">
      <alignment vertical="center"/>
    </xf>
    <xf numFmtId="0" fontId="3" fillId="0" borderId="0" xfId="0" applyFont="1">
      <alignment vertical="center"/>
    </xf>
    <xf numFmtId="0" fontId="0" fillId="0" borderId="0" xfId="0" applyNumberFormat="1">
      <alignment vertical="center"/>
    </xf>
    <xf numFmtId="165" fontId="0" fillId="0" borderId="0" xfId="0" applyNumberFormat="1">
      <alignment vertical="center"/>
    </xf>
    <xf numFmtId="0" fontId="5" fillId="0" borderId="1" xfId="0" pivotButton="1" applyFont="1" applyBorder="1">
      <alignment vertical="center"/>
    </xf>
    <xf numFmtId="0" fontId="5" fillId="0" borderId="1" xfId="0" applyFont="1" applyBorder="1">
      <alignment vertical="center"/>
    </xf>
    <xf numFmtId="0" fontId="5" fillId="0" borderId="1" xfId="0" applyFont="1" applyBorder="1" applyAlignment="1">
      <alignment horizontal="left" vertical="center"/>
    </xf>
    <xf numFmtId="0" fontId="5" fillId="0" borderId="1" xfId="0" applyNumberFormat="1" applyFont="1" applyBorder="1">
      <alignment vertical="center"/>
    </xf>
    <xf numFmtId="0" fontId="4" fillId="0" borderId="0" xfId="0" applyFont="1">
      <alignment vertical="center"/>
    </xf>
    <xf numFmtId="9" fontId="4" fillId="0" borderId="0" xfId="2" applyFont="1">
      <alignment vertical="center"/>
    </xf>
    <xf numFmtId="165" fontId="1" fillId="0" borderId="1" xfId="1" applyNumberFormat="1" applyFont="1" applyBorder="1">
      <alignment vertical="center"/>
    </xf>
    <xf numFmtId="165" fontId="0" fillId="0" borderId="1" xfId="1" applyNumberFormat="1" applyFont="1" applyBorder="1">
      <alignment vertical="center"/>
    </xf>
    <xf numFmtId="9" fontId="5" fillId="0" borderId="1" xfId="0" applyNumberFormat="1" applyFont="1" applyBorder="1">
      <alignment vertical="center"/>
    </xf>
    <xf numFmtId="173" fontId="5" fillId="0" borderId="1" xfId="0" applyNumberFormat="1" applyFont="1" applyBorder="1">
      <alignment vertical="center"/>
    </xf>
  </cellXfs>
  <cellStyles count="3">
    <cellStyle name="Comma" xfId="1" builtinId="3"/>
    <cellStyle name="Normal" xfId="0" builtinId="0"/>
    <cellStyle name="Percent" xfId="2" builtinId="5"/>
  </cellStyles>
  <dxfs count="74">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numFmt numFmtId="173" formatCode="0.0"/>
    </dxf>
    <dxf>
      <numFmt numFmtId="1" formatCode="0"/>
    </dxf>
    <dxf>
      <numFmt numFmtId="173" formatCode="0.0"/>
    </dxf>
    <dxf>
      <numFmt numFmtId="2" formatCode="0.00"/>
    </dxf>
    <dxf>
      <numFmt numFmtId="172" formatCode="0.000"/>
    </dxf>
    <dxf>
      <numFmt numFmtId="171" formatCode="0.0000"/>
    </dxf>
    <dxf>
      <numFmt numFmtId="170" formatCode="0.00000"/>
    </dxf>
    <dxf>
      <numFmt numFmtId="169" formatCode="0.000000"/>
    </dxf>
    <dxf>
      <numFmt numFmtId="168" formatCode="0.0000000"/>
    </dxf>
    <dxf>
      <numFmt numFmtId="167" formatCode="0.00000000"/>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
      <numFmt numFmtId="166" formatCode="_ * #,##0.0_ ;_ * \-#,##0.0_ ;_ * &quot;-&quot;??_ ;_ @_ "/>
    </dxf>
    <dxf>
      <numFmt numFmtId="166" formatCode="_ * #,##0.0_ ;_ * \-#,##0.0_ ;_ * &quot;-&quot;??_ ;_ @_ "/>
    </dxf>
    <dxf>
      <numFmt numFmtId="166" formatCode="_ * #,##0.0_ ;_ * \-#,##0.0_ ;_ * &quot;-&quot;??_ ;_ @_ "/>
    </dxf>
    <dxf>
      <numFmt numFmtId="13" formatCode="0%"/>
    </dxf>
    <dxf>
      <numFmt numFmtId="13" formatCode="0%"/>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73"/>
      <tableStyleElement type="headerRow" dxfId="72"/>
      <tableStyleElement type="totalRow" dxfId="71"/>
      <tableStyleElement type="firstColumn" dxfId="70"/>
      <tableStyleElement type="lastColumn" dxfId="69"/>
      <tableStyleElement type="firstRowStripe" dxfId="68"/>
      <tableStyleElement type="firstColumnStripe" dxfId="67"/>
    </tableStyle>
    <tableStyle name="PivotStylePreset2_Accent1" table="0" count="10">
      <tableStyleElement type="headerRow" dxfId="66"/>
      <tableStyleElement type="totalRow" dxfId="65"/>
      <tableStyleElement type="firstRowStripe" dxfId="64"/>
      <tableStyleElement type="firstColumnStripe" dxfId="63"/>
      <tableStyleElement type="firstSubtotalRow" dxfId="62"/>
      <tableStyleElement type="secondSubtotalRow" dxfId="61"/>
      <tableStyleElement type="firstRowSubheading" dxfId="60"/>
      <tableStyleElement type="secondRowSubheading" dxfId="59"/>
      <tableStyleElement type="pageFieldLabels" dxfId="58"/>
      <tableStyleElement type="pageFieldValues" dxfId="5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(1) (2).xlsx]DASHBOARD!PivotTable5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395095367847406E-2"/>
          <c:y val="0.27374020485706435"/>
          <c:w val="0.62579473206176206"/>
          <c:h val="0.6733115400286156"/>
        </c:manualLayout>
      </c:layout>
      <c:pie3DChart>
        <c:varyColors val="1"/>
        <c:ser>
          <c:idx val="0"/>
          <c:order val="0"/>
          <c:tx>
            <c:strRef>
              <c:f>DASHBOARD!$D$4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DASHBOARD!$C$5:$C$7</c:f>
              <c:strCache>
                <c:ptCount val="3"/>
                <c:pt idx="0">
                  <c:v>Average</c:v>
                </c:pt>
                <c:pt idx="1">
                  <c:v>Excellent</c:v>
                </c:pt>
                <c:pt idx="2">
                  <c:v>Poor</c:v>
                </c:pt>
              </c:strCache>
            </c:strRef>
          </c:cat>
          <c:val>
            <c:numRef>
              <c:f>DASHBOARD!$D$5:$D$7</c:f>
              <c:numCache>
                <c:formatCode>General</c:formatCode>
                <c:ptCount val="3"/>
                <c:pt idx="0">
                  <c:v>22</c:v>
                </c:pt>
                <c:pt idx="1">
                  <c:v>23</c:v>
                </c:pt>
                <c:pt idx="2">
                  <c:v>64</c:v>
                </c:pt>
              </c:numCache>
            </c:numRef>
          </c:val>
          <c:extLst>
            <c:ext xmlns:c16="http://schemas.microsoft.com/office/drawing/2014/chart" uri="{C3380CC4-5D6E-409C-BE32-E72D297353CC}">
              <c16:uniqueId val="{00000000-D99B-4349-9D98-6B5495765CCB}"/>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(1) (2).xlsx]DASHBOARD!PivotTable6</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DASHBOARD!$D$9</c:f>
              <c:strCache>
                <c:ptCount val="1"/>
                <c:pt idx="0">
                  <c:v>Total</c:v>
                </c:pt>
              </c:strCache>
            </c:strRef>
          </c:tx>
          <c:spPr>
            <a:solidFill>
              <a:schemeClr val="accent1"/>
            </a:solidFill>
            <a:ln>
              <a:noFill/>
            </a:ln>
            <a:effectLst/>
          </c:spPr>
          <c:invertIfNegative val="0"/>
          <c:cat>
            <c:strRef>
              <c:f>DASHBOARD!$C$10:$C$12</c:f>
              <c:strCache>
                <c:ptCount val="3"/>
                <c:pt idx="0">
                  <c:v>High Discount</c:v>
                </c:pt>
                <c:pt idx="1">
                  <c:v>Low Discount</c:v>
                </c:pt>
                <c:pt idx="2">
                  <c:v>Medium Discount</c:v>
                </c:pt>
              </c:strCache>
            </c:strRef>
          </c:cat>
          <c:val>
            <c:numRef>
              <c:f>DASHBOARD!$D$10:$D$12</c:f>
              <c:numCache>
                <c:formatCode>General</c:formatCode>
                <c:ptCount val="3"/>
                <c:pt idx="0">
                  <c:v>59</c:v>
                </c:pt>
                <c:pt idx="1">
                  <c:v>18</c:v>
                </c:pt>
                <c:pt idx="2">
                  <c:v>32</c:v>
                </c:pt>
              </c:numCache>
            </c:numRef>
          </c:val>
          <c:extLst>
            <c:ext xmlns:c16="http://schemas.microsoft.com/office/drawing/2014/chart" uri="{C3380CC4-5D6E-409C-BE32-E72D297353CC}">
              <c16:uniqueId val="{00000000-59A2-4B1C-99D3-0B33A5D58F22}"/>
            </c:ext>
          </c:extLst>
        </c:ser>
        <c:dLbls>
          <c:showLegendKey val="0"/>
          <c:showVal val="0"/>
          <c:showCatName val="0"/>
          <c:showSerName val="0"/>
          <c:showPercent val="0"/>
          <c:showBubbleSize val="0"/>
        </c:dLbls>
        <c:gapWidth val="219"/>
        <c:overlap val="-27"/>
        <c:axId val="2067791711"/>
        <c:axId val="2067800447"/>
      </c:barChart>
      <c:catAx>
        <c:axId val="206779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00447"/>
        <c:crosses val="autoZero"/>
        <c:auto val="1"/>
        <c:lblAlgn val="ctr"/>
        <c:lblOffset val="100"/>
        <c:noMultiLvlLbl val="0"/>
      </c:catAx>
      <c:valAx>
        <c:axId val="206780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917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(1) (2).xlsx]Discount% vs Number of reviews!PivotTable3</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rPr lang="en-US"/>
              <a:t>Relationship Between Discount Percentage and Customer Reviews</a:t>
            </a:r>
          </a:p>
        </c:rich>
      </c:tx>
      <c:layout>
        <c:manualLayout>
          <c:xMode val="edge"/>
          <c:yMode val="edge"/>
          <c:x val="0.16020855551605601"/>
          <c:y val="6.8981375028742201E-3"/>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6437894861576"/>
          <c:y val="0.133569200667672"/>
          <c:w val="0.85492105263157903"/>
          <c:h val="0.62439814814814798"/>
        </c:manualLayout>
      </c:layout>
      <c:barChart>
        <c:barDir val="col"/>
        <c:grouping val="clustered"/>
        <c:varyColors val="0"/>
        <c:ser>
          <c:idx val="0"/>
          <c:order val="0"/>
          <c:tx>
            <c:strRef>
              <c:f>'Discount% vs Number of reviews'!$B$3</c:f>
              <c:strCache>
                <c:ptCount val="1"/>
                <c:pt idx="0">
                  <c:v>Total</c:v>
                </c:pt>
              </c:strCache>
            </c:strRef>
          </c:tx>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'Discount% vs Number of reviews'!$A$4:$A$50</c:f>
              <c:strCache>
                <c:ptCount val="46"/>
                <c:pt idx="0">
                  <c:v>0.53</c:v>
                </c:pt>
                <c:pt idx="1">
                  <c:v>0.51</c:v>
                </c:pt>
                <c:pt idx="2">
                  <c:v>0.49</c:v>
                </c:pt>
                <c:pt idx="3">
                  <c:v>0.46</c:v>
                </c:pt>
                <c:pt idx="4">
                  <c:v>0.4</c:v>
                </c:pt>
                <c:pt idx="5">
                  <c:v>0.21</c:v>
                </c:pt>
                <c:pt idx="6">
                  <c:v>0.55</c:v>
                </c:pt>
                <c:pt idx="7">
                  <c:v>0.47</c:v>
                </c:pt>
                <c:pt idx="8">
                  <c:v>0.26</c:v>
                </c:pt>
                <c:pt idx="9">
                  <c:v>0.37</c:v>
                </c:pt>
                <c:pt idx="10">
                  <c:v>0.34</c:v>
                </c:pt>
                <c:pt idx="11">
                  <c:v>0.27</c:v>
                </c:pt>
                <c:pt idx="12">
                  <c:v>0.35</c:v>
                </c:pt>
                <c:pt idx="13">
                  <c:v>0.25</c:v>
                </c:pt>
                <c:pt idx="14">
                  <c:v>0.24</c:v>
                </c:pt>
                <c:pt idx="15">
                  <c:v>0.19</c:v>
                </c:pt>
                <c:pt idx="16">
                  <c:v>0.42</c:v>
                </c:pt>
                <c:pt idx="17">
                  <c:v>0.38</c:v>
                </c:pt>
                <c:pt idx="18">
                  <c:v>0.23</c:v>
                </c:pt>
                <c:pt idx="19">
                  <c:v>0.54</c:v>
                </c:pt>
                <c:pt idx="20">
                  <c:v>0.52</c:v>
                </c:pt>
                <c:pt idx="21">
                  <c:v>0.48</c:v>
                </c:pt>
                <c:pt idx="22">
                  <c:v>0.41</c:v>
                </c:pt>
                <c:pt idx="23">
                  <c:v>0.33</c:v>
                </c:pt>
                <c:pt idx="24">
                  <c:v>0.3</c:v>
                </c:pt>
                <c:pt idx="25">
                  <c:v>0.2</c:v>
                </c:pt>
                <c:pt idx="26">
                  <c:v>0.09</c:v>
                </c:pt>
                <c:pt idx="27">
                  <c:v>0.45</c:v>
                </c:pt>
                <c:pt idx="28">
                  <c:v>0.32</c:v>
                </c:pt>
                <c:pt idx="29">
                  <c:v>0.18</c:v>
                </c:pt>
                <c:pt idx="30">
                  <c:v>0.43</c:v>
                </c:pt>
                <c:pt idx="31">
                  <c:v>0.39</c:v>
                </c:pt>
                <c:pt idx="32">
                  <c:v>0.29</c:v>
                </c:pt>
                <c:pt idx="33">
                  <c:v>0.22</c:v>
                </c:pt>
                <c:pt idx="34">
                  <c:v>0.13</c:v>
                </c:pt>
                <c:pt idx="35">
                  <c:v>0.5</c:v>
                </c:pt>
                <c:pt idx="36">
                  <c:v>0.64</c:v>
                </c:pt>
                <c:pt idx="37">
                  <c:v>0.61</c:v>
                </c:pt>
                <c:pt idx="38">
                  <c:v>0.36</c:v>
                </c:pt>
                <c:pt idx="39">
                  <c:v>0.14</c:v>
                </c:pt>
                <c:pt idx="40">
                  <c:v>0.11</c:v>
                </c:pt>
                <c:pt idx="41">
                  <c:v>0.08</c:v>
                </c:pt>
                <c:pt idx="42">
                  <c:v>0.04</c:v>
                </c:pt>
                <c:pt idx="43">
                  <c:v>0.03</c:v>
                </c:pt>
                <c:pt idx="44">
                  <c:v>0.02</c:v>
                </c:pt>
                <c:pt idx="45">
                  <c:v>0.01</c:v>
                </c:pt>
              </c:strCache>
            </c:strRef>
          </c:cat>
          <c:val>
            <c:numRef>
              <c:f>'Discount% vs Number of reviews'!$B$4:$B$50</c:f>
              <c:numCache>
                <c:formatCode>General</c:formatCode>
                <c:ptCount val="46"/>
                <c:pt idx="0">
                  <c:v>7.5</c:v>
                </c:pt>
                <c:pt idx="1">
                  <c:v>2</c:v>
                </c:pt>
                <c:pt idx="2">
                  <c:v>9.8333333333333339</c:v>
                </c:pt>
                <c:pt idx="3">
                  <c:v>1</c:v>
                </c:pt>
                <c:pt idx="4">
                  <c:v>1</c:v>
                </c:pt>
                <c:pt idx="5">
                  <c:v>1</c:v>
                </c:pt>
                <c:pt idx="6">
                  <c:v>9</c:v>
                </c:pt>
                <c:pt idx="7">
                  <c:v>5.5714285714285712</c:v>
                </c:pt>
                <c:pt idx="8">
                  <c:v>5</c:v>
                </c:pt>
                <c:pt idx="9">
                  <c:v>4.5</c:v>
                </c:pt>
                <c:pt idx="10">
                  <c:v>12.75</c:v>
                </c:pt>
                <c:pt idx="11">
                  <c:v>17.333333333333332</c:v>
                </c:pt>
                <c:pt idx="12">
                  <c:v>27.5</c:v>
                </c:pt>
                <c:pt idx="13">
                  <c:v>24</c:v>
                </c:pt>
                <c:pt idx="14">
                  <c:v>27.5</c:v>
                </c:pt>
                <c:pt idx="15">
                  <c:v>5</c:v>
                </c:pt>
                <c:pt idx="16">
                  <c:v>1.5</c:v>
                </c:pt>
                <c:pt idx="17">
                  <c:v>1</c:v>
                </c:pt>
                <c:pt idx="18">
                  <c:v>14</c:v>
                </c:pt>
                <c:pt idx="19">
                  <c:v>8.5</c:v>
                </c:pt>
                <c:pt idx="20">
                  <c:v>12</c:v>
                </c:pt>
                <c:pt idx="21">
                  <c:v>2.25</c:v>
                </c:pt>
                <c:pt idx="22">
                  <c:v>12</c:v>
                </c:pt>
                <c:pt idx="23">
                  <c:v>4.5</c:v>
                </c:pt>
                <c:pt idx="24">
                  <c:v>20</c:v>
                </c:pt>
                <c:pt idx="25">
                  <c:v>12</c:v>
                </c:pt>
                <c:pt idx="26">
                  <c:v>15</c:v>
                </c:pt>
                <c:pt idx="27">
                  <c:v>7</c:v>
                </c:pt>
                <c:pt idx="28">
                  <c:v>13</c:v>
                </c:pt>
                <c:pt idx="29">
                  <c:v>12</c:v>
                </c:pt>
                <c:pt idx="30">
                  <c:v>2.75</c:v>
                </c:pt>
                <c:pt idx="31">
                  <c:v>5</c:v>
                </c:pt>
                <c:pt idx="32">
                  <c:v>5</c:v>
                </c:pt>
                <c:pt idx="33">
                  <c:v>8</c:v>
                </c:pt>
                <c:pt idx="34">
                  <c:v>6</c:v>
                </c:pt>
                <c:pt idx="35">
                  <c:v>1.1428571428571428</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0-FF53-47E6-A0EE-91371D51D5DD}"/>
            </c:ext>
          </c:extLst>
        </c:ser>
        <c:dLbls>
          <c:showLegendKey val="0"/>
          <c:showVal val="1"/>
          <c:showCatName val="0"/>
          <c:showSerName val="0"/>
          <c:showPercent val="0"/>
          <c:showBubbleSize val="0"/>
        </c:dLbls>
        <c:gapWidth val="500"/>
        <c:overlap val="-50"/>
        <c:axId val="664194643"/>
        <c:axId val="338552172"/>
      </c:barChart>
      <c:catAx>
        <c:axId val="664194643"/>
        <c:scaling>
          <c:orientation val="minMax"/>
        </c:scaling>
        <c:delete val="0"/>
        <c:axPos val="b"/>
        <c:numFmt formatCode="General"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338552172"/>
        <c:crosses val="autoZero"/>
        <c:auto val="1"/>
        <c:lblAlgn val="ctr"/>
        <c:lblOffset val="100"/>
        <c:noMultiLvlLbl val="0"/>
      </c:catAx>
      <c:valAx>
        <c:axId val="3385521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66419464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e0342a5-675a-460f-8abd-1fcaeb18cef3}"/>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(1) (2).xlsx]Rating and Number of Reviews!PivotTable1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Relationship Between Rating and Number of Reviews</a:t>
            </a:r>
          </a:p>
        </c:rich>
      </c:tx>
      <c:layout>
        <c:manualLayout>
          <c:xMode val="edge"/>
          <c:yMode val="edge"/>
          <c:x val="0.26059272632357422"/>
          <c:y val="2.4700100406912224E-3"/>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15736842105263"/>
          <c:y val="0.20763888888888901"/>
          <c:w val="0.86584210526315797"/>
          <c:h val="0.63273148148148195"/>
        </c:manualLayout>
      </c:layout>
      <c:lineChart>
        <c:grouping val="standard"/>
        <c:varyColors val="0"/>
        <c:ser>
          <c:idx val="0"/>
          <c:order val="0"/>
          <c:tx>
            <c:strRef>
              <c:f>'Rating and Number of Reviews'!$B$3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'Rating and Number of Reviews'!$A$4:$A$28</c:f>
              <c:strCache>
                <c:ptCount val="24"/>
                <c:pt idx="0">
                  <c:v>5</c:v>
                </c:pt>
                <c:pt idx="1">
                  <c:v>4.8</c:v>
                </c:pt>
                <c:pt idx="2">
                  <c:v>4.7</c:v>
                </c:pt>
                <c:pt idx="3">
                  <c:v>4.6</c:v>
                </c:pt>
                <c:pt idx="4">
                  <c:v>4.5</c:v>
                </c:pt>
                <c:pt idx="5">
                  <c:v>4.4</c:v>
                </c:pt>
                <c:pt idx="6">
                  <c:v>4.3</c:v>
                </c:pt>
                <c:pt idx="7">
                  <c:v>4.2</c:v>
                </c:pt>
                <c:pt idx="8">
                  <c:v>4.1</c:v>
                </c:pt>
                <c:pt idx="9">
                  <c:v>4</c:v>
                </c:pt>
                <c:pt idx="10">
                  <c:v>3.8</c:v>
                </c:pt>
                <c:pt idx="11">
                  <c:v>3.3</c:v>
                </c:pt>
                <c:pt idx="12">
                  <c:v>3</c:v>
                </c:pt>
                <c:pt idx="13">
                  <c:v>2.9</c:v>
                </c:pt>
                <c:pt idx="14">
                  <c:v>2.8</c:v>
                </c:pt>
                <c:pt idx="15">
                  <c:v>2.7</c:v>
                </c:pt>
                <c:pt idx="16">
                  <c:v>2.6</c:v>
                </c:pt>
                <c:pt idx="17">
                  <c:v>2.5</c:v>
                </c:pt>
                <c:pt idx="18">
                  <c:v>2.3</c:v>
                </c:pt>
                <c:pt idx="19">
                  <c:v>2.2</c:v>
                </c:pt>
                <c:pt idx="20">
                  <c:v>2.1</c:v>
                </c:pt>
                <c:pt idx="21">
                  <c:v>2</c:v>
                </c:pt>
                <c:pt idx="22">
                  <c:v>0</c:v>
                </c:pt>
                <c:pt idx="23">
                  <c:v>10</c:v>
                </c:pt>
              </c:strCache>
            </c:strRef>
          </c:cat>
          <c:val>
            <c:numRef>
              <c:f>'Rating and Number of Reviews'!$B$4:$B$28</c:f>
              <c:numCache>
                <c:formatCode>General</c:formatCode>
                <c:ptCount val="24"/>
                <c:pt idx="0">
                  <c:v>1.5</c:v>
                </c:pt>
                <c:pt idx="1">
                  <c:v>7.333333333333333</c:v>
                </c:pt>
                <c:pt idx="2">
                  <c:v>19.5</c:v>
                </c:pt>
                <c:pt idx="3">
                  <c:v>35.4</c:v>
                </c:pt>
                <c:pt idx="4">
                  <c:v>10.5</c:v>
                </c:pt>
                <c:pt idx="5">
                  <c:v>14</c:v>
                </c:pt>
                <c:pt idx="6">
                  <c:v>15.25</c:v>
                </c:pt>
                <c:pt idx="7">
                  <c:v>9</c:v>
                </c:pt>
                <c:pt idx="8">
                  <c:v>15.333333333333334</c:v>
                </c:pt>
                <c:pt idx="9">
                  <c:v>6</c:v>
                </c:pt>
                <c:pt idx="10">
                  <c:v>10</c:v>
                </c:pt>
                <c:pt idx="11">
                  <c:v>13</c:v>
                </c:pt>
                <c:pt idx="12">
                  <c:v>5.2</c:v>
                </c:pt>
                <c:pt idx="13">
                  <c:v>16</c:v>
                </c:pt>
                <c:pt idx="14">
                  <c:v>69</c:v>
                </c:pt>
                <c:pt idx="15">
                  <c:v>15</c:v>
                </c:pt>
                <c:pt idx="16">
                  <c:v>17</c:v>
                </c:pt>
                <c:pt idx="17">
                  <c:v>6</c:v>
                </c:pt>
                <c:pt idx="18">
                  <c:v>6.5</c:v>
                </c:pt>
                <c:pt idx="19">
                  <c:v>6</c:v>
                </c:pt>
                <c:pt idx="20">
                  <c:v>10</c:v>
                </c:pt>
                <c:pt idx="21">
                  <c:v>1</c:v>
                </c:pt>
                <c:pt idx="22">
                  <c:v>0</c:v>
                </c:pt>
                <c:pt idx="23">
                  <c:v>3</c:v>
                </c:pt>
              </c:numCache>
            </c:numRef>
          </c:val>
          <c:smooth val="0"/>
          <c:extLst>
            <c:ext xmlns:c16="http://schemas.microsoft.com/office/drawing/2014/chart" uri="{C3380CC4-5D6E-409C-BE32-E72D297353CC}">
              <c16:uniqueId val="{00000000-1066-49FF-86E5-237CAB78CBDB}"/>
            </c:ext>
          </c:extLst>
        </c:ser>
        <c:dLbls>
          <c:showLegendKey val="0"/>
          <c:showVal val="0"/>
          <c:showCatName val="0"/>
          <c:showSerName val="0"/>
          <c:showPercent val="0"/>
          <c:showBubbleSize val="0"/>
        </c:dLbls>
        <c:marker val="1"/>
        <c:smooth val="0"/>
        <c:axId val="848298764"/>
        <c:axId val="705081093"/>
      </c:lineChart>
      <c:catAx>
        <c:axId val="8482987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05081093"/>
        <c:crosses val="autoZero"/>
        <c:auto val="1"/>
        <c:lblAlgn val="ctr"/>
        <c:lblOffset val="100"/>
        <c:noMultiLvlLbl val="0"/>
      </c:catAx>
      <c:valAx>
        <c:axId val="70508109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4829876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f7694e5-bb6d-408d-9e3d-b59655bdf62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(1) (2).xlsx]Comparison High and Low Discoun!PivotTable1</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lineChart>
        <c:grouping val="stacked"/>
        <c:varyColors val="0"/>
        <c:ser>
          <c:idx val="0"/>
          <c:order val="0"/>
          <c:tx>
            <c:strRef>
              <c:f>'Comparison High and Low Discoun'!$B$3:$B$4</c:f>
              <c:strCache>
                <c:ptCount val="1"/>
                <c:pt idx="0">
                  <c:v>High Discount</c:v>
                </c:pt>
              </c:strCache>
            </c:strRef>
          </c:tx>
          <c:spPr>
            <a:ln w="28575" cap="rnd">
              <a:solidFill>
                <a:schemeClr val="accent1"/>
              </a:solidFill>
              <a:round/>
            </a:ln>
            <a:effectLst/>
          </c:spPr>
          <c:marker>
            <c:symbol val="none"/>
          </c:marker>
          <c:cat>
            <c:strRef>
              <c:f>'Comparison High and Low Discoun'!$A$5:$A$22</c:f>
              <c:strCache>
                <c:ptCount val="17"/>
                <c:pt idx="0">
                  <c:v>0</c:v>
                </c:pt>
                <c:pt idx="1">
                  <c:v>1</c:v>
                </c:pt>
                <c:pt idx="2">
                  <c:v>2</c:v>
                </c:pt>
                <c:pt idx="3">
                  <c:v>3</c:v>
                </c:pt>
                <c:pt idx="4">
                  <c:v>5</c:v>
                </c:pt>
                <c:pt idx="5">
                  <c:v>6</c:v>
                </c:pt>
                <c:pt idx="6">
                  <c:v>7</c:v>
                </c:pt>
                <c:pt idx="7">
                  <c:v>9</c:v>
                </c:pt>
                <c:pt idx="8">
                  <c:v>10</c:v>
                </c:pt>
                <c:pt idx="9">
                  <c:v>12</c:v>
                </c:pt>
                <c:pt idx="10">
                  <c:v>13</c:v>
                </c:pt>
                <c:pt idx="11">
                  <c:v>14</c:v>
                </c:pt>
                <c:pt idx="12">
                  <c:v>15</c:v>
                </c:pt>
                <c:pt idx="13">
                  <c:v>17</c:v>
                </c:pt>
                <c:pt idx="14">
                  <c:v>36</c:v>
                </c:pt>
                <c:pt idx="15">
                  <c:v>44</c:v>
                </c:pt>
                <c:pt idx="16">
                  <c:v>69</c:v>
                </c:pt>
              </c:strCache>
            </c:strRef>
          </c:cat>
          <c:val>
            <c:numRef>
              <c:f>'Comparison High and Low Discoun'!$B$5:$B$22</c:f>
              <c:numCache>
                <c:formatCode>General</c:formatCode>
                <c:ptCount val="17"/>
                <c:pt idx="0">
                  <c:v>29</c:v>
                </c:pt>
                <c:pt idx="1">
                  <c:v>4</c:v>
                </c:pt>
                <c:pt idx="2">
                  <c:v>3</c:v>
                </c:pt>
                <c:pt idx="3">
                  <c:v>1</c:v>
                </c:pt>
                <c:pt idx="4">
                  <c:v>3</c:v>
                </c:pt>
                <c:pt idx="5">
                  <c:v>4</c:v>
                </c:pt>
                <c:pt idx="6">
                  <c:v>3</c:v>
                </c:pt>
                <c:pt idx="7">
                  <c:v>2</c:v>
                </c:pt>
                <c:pt idx="8">
                  <c:v>1</c:v>
                </c:pt>
                <c:pt idx="9">
                  <c:v>1</c:v>
                </c:pt>
                <c:pt idx="10">
                  <c:v>2</c:v>
                </c:pt>
                <c:pt idx="11">
                  <c:v>1</c:v>
                </c:pt>
                <c:pt idx="12">
                  <c:v>1</c:v>
                </c:pt>
                <c:pt idx="13">
                  <c:v>1</c:v>
                </c:pt>
                <c:pt idx="14">
                  <c:v>1</c:v>
                </c:pt>
                <c:pt idx="15">
                  <c:v>1</c:v>
                </c:pt>
                <c:pt idx="16">
                  <c:v>1</c:v>
                </c:pt>
              </c:numCache>
            </c:numRef>
          </c:val>
          <c:smooth val="0"/>
          <c:extLst>
            <c:ext xmlns:c16="http://schemas.microsoft.com/office/drawing/2014/chart" uri="{C3380CC4-5D6E-409C-BE32-E72D297353CC}">
              <c16:uniqueId val="{00000000-2DF6-4CAF-AAA1-8A3E088C62B1}"/>
            </c:ext>
          </c:extLst>
        </c:ser>
        <c:ser>
          <c:idx val="1"/>
          <c:order val="1"/>
          <c:tx>
            <c:strRef>
              <c:f>'Comparison High and Low Discoun'!$C$3:$C$4</c:f>
              <c:strCache>
                <c:ptCount val="1"/>
                <c:pt idx="0">
                  <c:v>Low Discount</c:v>
                </c:pt>
              </c:strCache>
            </c:strRef>
          </c:tx>
          <c:spPr>
            <a:ln w="28575" cap="rnd">
              <a:solidFill>
                <a:schemeClr val="accent2"/>
              </a:solidFill>
              <a:round/>
            </a:ln>
            <a:effectLst/>
          </c:spPr>
          <c:marker>
            <c:symbol val="none"/>
          </c:marker>
          <c:cat>
            <c:strRef>
              <c:f>'Comparison High and Low Discoun'!$A$5:$A$22</c:f>
              <c:strCache>
                <c:ptCount val="17"/>
                <c:pt idx="0">
                  <c:v>0</c:v>
                </c:pt>
                <c:pt idx="1">
                  <c:v>1</c:v>
                </c:pt>
                <c:pt idx="2">
                  <c:v>2</c:v>
                </c:pt>
                <c:pt idx="3">
                  <c:v>3</c:v>
                </c:pt>
                <c:pt idx="4">
                  <c:v>5</c:v>
                </c:pt>
                <c:pt idx="5">
                  <c:v>6</c:v>
                </c:pt>
                <c:pt idx="6">
                  <c:v>7</c:v>
                </c:pt>
                <c:pt idx="7">
                  <c:v>9</c:v>
                </c:pt>
                <c:pt idx="8">
                  <c:v>10</c:v>
                </c:pt>
                <c:pt idx="9">
                  <c:v>12</c:v>
                </c:pt>
                <c:pt idx="10">
                  <c:v>13</c:v>
                </c:pt>
                <c:pt idx="11">
                  <c:v>14</c:v>
                </c:pt>
                <c:pt idx="12">
                  <c:v>15</c:v>
                </c:pt>
                <c:pt idx="13">
                  <c:v>17</c:v>
                </c:pt>
                <c:pt idx="14">
                  <c:v>36</c:v>
                </c:pt>
                <c:pt idx="15">
                  <c:v>44</c:v>
                </c:pt>
                <c:pt idx="16">
                  <c:v>69</c:v>
                </c:pt>
              </c:strCache>
            </c:strRef>
          </c:cat>
          <c:val>
            <c:numRef>
              <c:f>'Comparison High and Low Discoun'!$C$5:$C$22</c:f>
              <c:numCache>
                <c:formatCode>General</c:formatCode>
                <c:ptCount val="17"/>
                <c:pt idx="0">
                  <c:v>14</c:v>
                </c:pt>
                <c:pt idx="4">
                  <c:v>1</c:v>
                </c:pt>
                <c:pt idx="5">
                  <c:v>1</c:v>
                </c:pt>
                <c:pt idx="9">
                  <c:v>1</c:v>
                </c:pt>
                <c:pt idx="12">
                  <c:v>1</c:v>
                </c:pt>
              </c:numCache>
            </c:numRef>
          </c:val>
          <c:smooth val="0"/>
          <c:extLst>
            <c:ext xmlns:c16="http://schemas.microsoft.com/office/drawing/2014/chart" uri="{C3380CC4-5D6E-409C-BE32-E72D297353CC}">
              <c16:uniqueId val="{00000001-2DF6-4CAF-AAA1-8A3E088C62B1}"/>
            </c:ext>
          </c:extLst>
        </c:ser>
        <c:dLbls>
          <c:showLegendKey val="0"/>
          <c:showVal val="0"/>
          <c:showCatName val="0"/>
          <c:showSerName val="0"/>
          <c:showPercent val="0"/>
          <c:showBubbleSize val="0"/>
        </c:dLbls>
        <c:smooth val="0"/>
        <c:axId val="322649760"/>
        <c:axId val="322648928"/>
      </c:lineChart>
      <c:catAx>
        <c:axId val="322649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FF0000"/>
                    </a:solidFill>
                  </a:rPr>
                  <a:t>Review</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48928"/>
        <c:crosses val="autoZero"/>
        <c:auto val="1"/>
        <c:lblAlgn val="ctr"/>
        <c:lblOffset val="100"/>
        <c:noMultiLvlLbl val="0"/>
      </c:catAx>
      <c:valAx>
        <c:axId val="322648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FF0000"/>
                    </a:solidFill>
                  </a:rPr>
                  <a:t>Rating</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4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7">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19050</xdr:rowOff>
    </xdr:from>
    <xdr:to>
      <xdr:col>1</xdr:col>
      <xdr:colOff>628649</xdr:colOff>
      <xdr:row>25</xdr:row>
      <xdr:rowOff>152400</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2619375"/>
              <a:ext cx="1838324"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95251</xdr:rowOff>
    </xdr:from>
    <xdr:to>
      <xdr:col>1</xdr:col>
      <xdr:colOff>619125</xdr:colOff>
      <xdr:row>12</xdr:row>
      <xdr:rowOff>180976</xdr:rowOff>
    </xdr:to>
    <mc:AlternateContent xmlns:mc="http://schemas.openxmlformats.org/markup-compatibility/2006">
      <mc:Choice xmlns:a14="http://schemas.microsoft.com/office/drawing/2010/main" Requires="a14">
        <xdr:graphicFrame macro="">
          <xdr:nvGraphicFramePr>
            <xdr:cNvPr id="3"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0" y="1495426"/>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0</xdr:rowOff>
    </xdr:from>
    <xdr:to>
      <xdr:col>1</xdr:col>
      <xdr:colOff>628649</xdr:colOff>
      <xdr:row>7</xdr:row>
      <xdr:rowOff>114300</xdr:rowOff>
    </xdr:to>
    <mc:AlternateContent xmlns:mc="http://schemas.openxmlformats.org/markup-compatibility/2006">
      <mc:Choice xmlns:a14="http://schemas.microsoft.com/office/drawing/2010/main" Requires="a14">
        <xdr:graphicFrame macro="">
          <xdr:nvGraphicFramePr>
            <xdr:cNvPr id="4"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0" y="400050"/>
              <a:ext cx="1838324"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895350</xdr:colOff>
      <xdr:row>0</xdr:row>
      <xdr:rowOff>0</xdr:rowOff>
    </xdr:from>
    <xdr:to>
      <xdr:col>4</xdr:col>
      <xdr:colOff>3743325</xdr:colOff>
      <xdr:row>11</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752475</xdr:colOff>
      <xdr:row>12</xdr:row>
      <xdr:rowOff>95250</xdr:rowOff>
    </xdr:from>
    <xdr:to>
      <xdr:col>4</xdr:col>
      <xdr:colOff>3905250</xdr:colOff>
      <xdr:row>26</xdr:row>
      <xdr:rowOff>76200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77470</xdr:colOff>
      <xdr:row>2</xdr:row>
      <xdr:rowOff>3175</xdr:rowOff>
    </xdr:from>
    <xdr:to>
      <xdr:col>10</xdr:col>
      <xdr:colOff>577850</xdr:colOff>
      <xdr:row>21</xdr:row>
      <xdr:rowOff>59055</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3175</xdr:colOff>
      <xdr:row>1</xdr:row>
      <xdr:rowOff>136525</xdr:rowOff>
    </xdr:from>
    <xdr:to>
      <xdr:col>11</xdr:col>
      <xdr:colOff>533400</xdr:colOff>
      <xdr:row>16</xdr:row>
      <xdr:rowOff>117475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361950</xdr:colOff>
      <xdr:row>0</xdr:row>
      <xdr:rowOff>76200</xdr:rowOff>
    </xdr:from>
    <xdr:to>
      <xdr:col>12</xdr:col>
      <xdr:colOff>38100</xdr:colOff>
      <xdr:row>16</xdr:row>
      <xdr:rowOff>142875</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countsreceivable" refreshedDate="46113.696527430555" createdVersion="5" refreshedVersion="6" minRefreshableVersion="3" recordCount="109">
  <cacheSource type="worksheet">
    <worksheetSource ref="A1:K110" sheet="Excel_jumia (1) (1)"/>
  </cacheSource>
  <cacheFields count="11">
    <cacheField name="Product" numFmtId="0">
      <sharedItems containsBlank="1" count="110">
        <s v="Classic Black Cat Cotton Hemp Pillow Case For Home Car"/>
        <s v="Anti-Skid Absorbent Insulation Coaster  For Home Office"/>
        <s v="LASA Aluminum Folding Truck Hand Cart - 68kg Max"/>
        <s v="Bedroom Simple Floor Hanging Clothes Rack Single Pole Hat Rack - White"/>
        <s v="Peacock  Throw Pillow Cushion Case For Home Car"/>
        <s v="DIY File Folder, Office Drawer File Holder, Pen Holder, Desktop Storage Rack"/>
        <s v="Konka Healty Electric Kettle, 24-hour Heat Preservation,1.5L,800W, White"/>
        <s v="LASA FOLDING TABLE SERVING STAND"/>
        <s v="40cm Gold DIY Acrylic Wall Sticker Clock"/>
        <s v="Portable Home Small Air Humidifier 3-Speed Fan - Green"/>
        <s v="Weighing Scale Digital Bathroom Body Fat Scale USB-Black"/>
        <s v="100 Pcs Crochet Hook Tool Set Knitting Hook Set With Box"/>
        <s v="12 Litre Insulated Lunch Box Grey"/>
        <s v="53Pcs/Set Yarn Knitting Crochet Hooks With Bag - Fortune Cat"/>
        <s v="3D Waterproof EVA Plastic Shower Curtain 1.8*2Mtrs"/>
        <s v="Electronic Digital Display Vernier Caliper"/>
        <s v="Portable Mini Cordless Car Vacuum Cleaner - Blue"/>
        <s v="137 Pieces Cake Decorating Tool Set Baking Supplies"/>
        <s v="LED Wall Digital Alarm Clock Study Home 12 / 24H Clock Calendar"/>
        <s v="LASA Digital Thermometer And Hydrometer"/>
        <s v="115  Piece Set Of Multifunctional Precision Screwdrivers"/>
        <s v="1/2/3 Seater Elastic Sofa Cover,Living Room/Home Decor Chair Cover-Grey"/>
        <s v="53 Pieces/Set Yarn Knitting Crochet Hooks With Bag - Pansies"/>
        <s v="Foldable Overbed Table/Desk"/>
        <s v="LASA 3 Tier Bamboo Shoe Bench Storage Shelf"/>
        <s v="Exfoliate And Exfoliate Face Towel - Black"/>
        <s v="LED Eye Protection  Desk Lamp , Study, Reading, USB Fan - Double Pen Holder"/>
        <s v="Punch-free Great Load Bearing Bathroom Storage Rack Wall Shelf-White"/>
        <s v="Multifunction Laser Level With Adjustment Tripod"/>
        <s v="Metal Decorative Hooks Key Hangers Entryway Wall Hooks Towel Hooks - Home"/>
        <s v="52 Pieces Cake Decorating Tool Set Gift Kit Baking Supplies"/>
        <s v="Genebre 115 In 1 Screwdriver Repairing Tool Set For IPhone Cellphone Hand Tool"/>
        <s v="Household Pineapple Peeler Peeler"/>
        <s v="Desk Foldable Fan Adjustable Fan Strong Wind 3 Gear Usb"/>
        <s v="LED Romantic Spaceship Starry Sky Projector,Children's Bedroom Night Light-Blue"/>
        <s v="220V 60W Electric Soldering Iron Kits With Tools, Tips, And Multimeter"/>
        <s v="13 In 1 Home Repair Tools Box Kit Set"/>
        <s v="12 Litre Black Insulated Lunch Box"/>
        <s v="Portable Wardrobe Nonwoven With 3 Hanging Rods And 6 Storage Shelves"/>
        <s v="3PCS Single Head Knitting Crochet Sweater Needle Set"/>
        <s v="Mythco 120COB Solar Wall Ligt With Motion Sensor And Remote Control 3 Modes"/>
        <s v="Memory Foam Neck Pillow Cover, With Pillow Core - 50*30cm"/>
        <s v="Wrought Iron Bathroom Shelf Wall Mounted Free Punch Toilet Rack"/>
        <s v="32PCS Portable Cordless Drill Set With Cyclic Battery Drive -26 Variable Speed"/>
        <s v="Large Lazy Inflatable Sofa Chairs PVC Lounger Seat Bag"/>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7-piece Set Of Storage Bags, Travel Storage Bags, Shoe Bags"/>
        <s v="Artificial Potted Flowers Room Decorative Flowers (2 Pieces)"/>
        <s v="5-PCS Stainless Steel Cooking Pot Set With Steamed Slices"/>
        <s v="Electric LED UV Mosquito Killer Lamp, Outdoor/Indoor Fly Killer Trap Light -USB"/>
        <s v="Wall-mounted Sticker Punch-free Plug Fixer"/>
        <s v="6 In 1 Bottle Can Opener Multifunctional Easy Opener"/>
        <s v="Creative Owl Shape Keychain Black"/>
        <s v="Modern Sofa Throw Pillow Cover-45x45cm-Blue&amp;Red"/>
        <s v="Christmas Elk Fence Yard Lawn Decorations Cute For Holidays"/>
        <s v="Brush &amp; Paintbrush Cleaning Tool Pink"/>
        <s v="Wall Clock With Hidden Safe Box"/>
        <s v="2PCS Ice Silk Square Cushion Cover Pillowcases - 65x65cm"/>
        <s v="4M Float Switch Water Level Controller -Water Tank"/>
        <s v="Car Phone Charging Stand"/>
        <s v="Angle Measuring Tool Full Metal Multi Angle Measuring Tool"/>
        <s v="7PCS Silicone Thumb Knife Finger Protector Vegetable Harvesting Knife"/>
        <s v="Cartoon Car Decoration Cute Individuality For Car Home Desk"/>
        <s v="4 Piece Coloured Stainless Steel Kitchenware Set"/>
        <s v="Baby Early Education Shape And Color Cognitive Training Toys"/>
        <s v="Christmas Fence Garden Decorations Outdoor For Holiday Home"/>
        <s v="Portable Wine Table With Folding Round Table"/>
        <s v="Sewing Machine Needle Threader Stitch Insertion Tool Automatic Quick Sewing"/>
        <s v="2PCS/LOT Solar LED Outdoor Intelligent Light Controlled Wall Lamp"/>
        <s v="6 Layers Steel Pipe Assembling Dustproof Storage Shoe Cabinet"/>
        <s v="Black Simple Water Cup Wine Coaster Anti Slip Absorbent"/>
        <s v="MultiFunctional Storage Rack Multi-layer Bookshelf"/>
        <s v="Simple Metal Dog Art Sculpture Decoration For Home Office"/>
        <s v="3PCS Rotary Scraper Thermomix For Kitchen"/>
        <s v="Multifunctional Hanging Storage Box Storage Bag (4 Layers)"/>
        <s v="4pcs Bathroom/Kitchen Towel Rack,Roll Paper Holder,Towel Bars,Hook"/>
        <s v="Balloon Insert, Birthday Party Balloon Set, PU Leather"/>
        <s v="8in1 Screwdriver With LED Light"/>
        <s v="Cute Christmas Fence Garden Decorations For Holiday Home"/>
        <s v="9pcs Gas Mask, For Painting, Dust, Formaldehyde Grinding, Polishing"/>
        <s v="LASA Stainless Steel Double Wall Mount Soap Dispenser - 500ml"/>
        <s v="2pcs Solar Street Light Flood Light Outdoor"/>
        <s v="5m Waterproof Spherical LED String Lights Outdoor Ball Chain Lights Party Lighting Decoration Adjustable"/>
        <s v="LED Solar Street Light-fake Camera"/>
        <s v="Cartoon Embroidered Mini Towel Bear Cotton Wash Cloth Hand 4pcs"/>
        <s v="60W Hot Melt Glue Sprayer - Efficient And Stable Glue Dispensing"/>
        <s v="12V 19500rpm Handheld Electric Angle Grinder Tool - UK - Yellow/Black"/>
        <s v="1PC Refrigerator Food Seal Pocket Fridge Bags"/>
        <s v="Pilates Cloth Bag Waterproof Durable High Capacity Purple"/>
        <s v="Office Chair Lumbar Back Support Spine Posture Correction Pillow Car Cushion"/>
        <s v="Wall-Mounted Toothbrush Toothpaste Holder With Multiple Slots"/>
        <s v="Outdoor Portable Water Bottle With Medicine Box - 600ML - Black"/>
        <s v="Wall Mount Automatic Toothpaste Dispenser Toothbrush Holder Toothpaste Squeezer"/>
        <s v="Cushion Silicone Butt Cushion Summer Ice Cushion Honeycomb Gel Cushion"/>
        <s v="Metal Wall Clock Silver Dial Crystal Jewelry Round Home Decoration Wall Clock"/>
        <s v="Multi-purpose Rice Drainage Basket And Fruit And Vegetable Drainage Sieve"/>
        <s v="Shower Cap Wide Elastic Band Cover Reusable Bashroom Cap"/>
        <s v="Pen Grips For Kids Pen Grip Posture Correction Tool For Kids"/>
        <s v="2 Pairs Cowhide Split Leather Work Gloves.32℉ Or Above Welding Gloves"/>
        <s v="Portable Soap Dispenser Kitchen Detergent Press Box Kitchen Tools"/>
        <s v="Shower Nozzle Cleaning Unclogging Needle Mini Crevice Small Hole Cleaning Brush"/>
        <s v="Thickening Multipurpose Non Stick Easy To Clean Heat Resistant Spoon Pad"/>
        <s v="24 Grid Wall-mounted Sundries Organiser Fabric Closet Bag Storage Rack"/>
        <m u="1"/>
      </sharedItems>
    </cacheField>
    <cacheField name="Current price" numFmtId="164">
      <sharedItems containsMixedTypes="1" containsNumber="1" containsInteger="1" minValue="38" maxValue="3750"/>
    </cacheField>
    <cacheField name="Old price" numFmtId="164">
      <sharedItems containsMixedTypes="1" containsNumber="1" containsInteger="1" minValue="80" maxValue="6143"/>
    </cacheField>
    <cacheField name="Current Price updated" numFmtId="164">
      <sharedItems containsSemiMixedTypes="0" containsString="0" containsNumber="1" containsInteger="1" minValue="38" maxValue="3750"/>
    </cacheField>
    <cacheField name="Old Price updated" numFmtId="164">
      <sharedItems containsSemiMixedTypes="0" containsString="0" containsNumber="1" containsInteger="1" minValue="80" maxValue="6143"/>
    </cacheField>
    <cacheField name="Discount" numFmtId="9">
      <sharedItems containsSemiMixedTypes="0" containsString="0" containsNumber="1" minValue="0.01" maxValue="0.64" count="46">
        <n v="0.53"/>
        <n v="0.51"/>
        <n v="0.49"/>
        <n v="0.46"/>
        <n v="0.4"/>
        <n v="0.21"/>
        <n v="0.55000000000000004"/>
        <n v="0.47"/>
        <n v="0.26"/>
        <n v="0.37"/>
        <n v="0.34"/>
        <n v="0.27"/>
        <n v="0.35"/>
        <n v="0.25"/>
        <n v="0.24"/>
        <n v="0.19"/>
        <n v="0.42"/>
        <n v="0.38"/>
        <n v="0.23"/>
        <n v="0.54"/>
        <n v="0.52"/>
        <n v="0.48"/>
        <n v="0.41"/>
        <n v="0.33"/>
        <n v="0.3"/>
        <n v="0.2"/>
        <n v="0.09"/>
        <n v="0.45"/>
        <n v="0.32"/>
        <n v="0.18"/>
        <n v="0.43"/>
        <n v="0.39"/>
        <n v="0.28999999999999998"/>
        <n v="0.22"/>
        <n v="0.13"/>
        <n v="0.5"/>
        <n v="0.64"/>
        <n v="0.61"/>
        <n v="0.36"/>
        <n v="0.14000000000000001"/>
        <n v="0.11"/>
        <n v="0.08"/>
        <n v="0.04"/>
        <n v="0.03"/>
        <n v="0.02"/>
        <n v="0.01"/>
      </sharedItems>
    </cacheField>
    <cacheField name="Review" numFmtId="165">
      <sharedItems containsSemiMixedTypes="0" containsString="0" containsNumber="1" containsInteger="1" minValue="0" maxValue="69" count="24">
        <n v="2"/>
        <n v="3"/>
        <n v="1"/>
        <n v="5"/>
        <n v="12"/>
        <n v="7"/>
        <n v="39"/>
        <n v="20"/>
        <n v="44"/>
        <n v="49"/>
        <n v="24"/>
        <n v="55"/>
        <n v="6"/>
        <n v="32"/>
        <n v="14"/>
        <n v="9"/>
        <n v="36"/>
        <n v="15"/>
        <n v="13"/>
        <n v="10"/>
        <n v="16"/>
        <n v="69"/>
        <n v="17"/>
        <n v="0"/>
      </sharedItems>
    </cacheField>
    <cacheField name="Rating" numFmtId="164">
      <sharedItems containsSemiMixedTypes="0" containsString="0" containsNumber="1" minValue="0" maxValue="10" count="24">
        <n v="5"/>
        <n v="10"/>
        <n v="4.8"/>
        <n v="4.7"/>
        <n v="4.5999999999999996"/>
        <n v="4.5"/>
        <n v="4.4000000000000004"/>
        <n v="4.3"/>
        <n v="4.2"/>
        <n v="4.0999999999999996"/>
        <n v="4"/>
        <n v="3.8"/>
        <n v="3.3"/>
        <n v="3"/>
        <n v="2.9"/>
        <n v="2.8"/>
        <n v="2.7"/>
        <n v="2.6"/>
        <n v="2.5"/>
        <n v="2.2999999999999998"/>
        <n v="2.2000000000000002"/>
        <n v="2.1"/>
        <n v="2"/>
        <n v="0"/>
      </sharedItems>
    </cacheField>
    <cacheField name="Discount Amount" numFmtId="164">
      <sharedItems containsSemiMixedTypes="0" containsString="0" containsNumber="1" containsInteger="1" minValue="24" maxValue="2585"/>
    </cacheField>
    <cacheField name="Rating Category" numFmtId="0">
      <sharedItems containsBlank="1" count="4">
        <s v="Excellent"/>
        <s v="Average"/>
        <s v="Poor"/>
        <m u="1"/>
      </sharedItems>
    </cacheField>
    <cacheField name="Discount Category" numFmtId="0">
      <sharedItems containsBlank="1" count="4">
        <s v="High Discount"/>
        <s v="Medium Discount"/>
        <s v="Low Discount"/>
        <m u="1"/>
      </sharedItems>
    </cacheField>
  </cacheFields>
  <extLst>
    <ext xmlns:x14="http://schemas.microsoft.com/office/spreadsheetml/2009/9/main" uri="{725AE2AE-9491-48be-B2B4-4EB974FC3084}">
      <x14:pivotCacheDefinition pivotCacheId="1254438061"/>
    </ext>
  </extLst>
</pivotCacheDefinition>
</file>

<file path=xl/pivotCache/pivotCacheRecords1.xml><?xml version="1.0" encoding="utf-8"?>
<pivotCacheRecords xmlns="http://schemas.openxmlformats.org/spreadsheetml/2006/main" xmlns:r="http://schemas.openxmlformats.org/officeDocument/2006/relationships" count="109">
  <r>
    <x v="0"/>
    <n v="171"/>
    <n v="360"/>
    <n v="171"/>
    <n v="360"/>
    <x v="0"/>
    <x v="0"/>
    <x v="0"/>
    <n v="189"/>
    <x v="0"/>
    <x v="0"/>
  </r>
  <r>
    <x v="1"/>
    <n v="332"/>
    <n v="684"/>
    <n v="332"/>
    <n v="684"/>
    <x v="1"/>
    <x v="0"/>
    <x v="0"/>
    <n v="352"/>
    <x v="0"/>
    <x v="0"/>
  </r>
  <r>
    <x v="2"/>
    <n v="2025"/>
    <n v="3971"/>
    <n v="2025"/>
    <n v="3971"/>
    <x v="2"/>
    <x v="1"/>
    <x v="1"/>
    <n v="1946"/>
    <x v="0"/>
    <x v="0"/>
  </r>
  <r>
    <x v="3"/>
    <n v="979"/>
    <n v="1920"/>
    <n v="979"/>
    <n v="1920"/>
    <x v="2"/>
    <x v="2"/>
    <x v="0"/>
    <n v="941"/>
    <x v="0"/>
    <x v="0"/>
  </r>
  <r>
    <x v="4"/>
    <n v="195"/>
    <n v="360"/>
    <n v="195"/>
    <n v="360"/>
    <x v="3"/>
    <x v="0"/>
    <x v="0"/>
    <n v="165"/>
    <x v="0"/>
    <x v="0"/>
  </r>
  <r>
    <x v="5"/>
    <n v="1620"/>
    <n v="2690"/>
    <n v="1620"/>
    <n v="2690"/>
    <x v="4"/>
    <x v="2"/>
    <x v="0"/>
    <n v="1070"/>
    <x v="0"/>
    <x v="1"/>
  </r>
  <r>
    <x v="6"/>
    <n v="3640"/>
    <n v="4588"/>
    <n v="3640"/>
    <n v="4588"/>
    <x v="5"/>
    <x v="2"/>
    <x v="0"/>
    <n v="948"/>
    <x v="0"/>
    <x v="1"/>
  </r>
  <r>
    <x v="7"/>
    <n v="1274"/>
    <n v="2800"/>
    <n v="1274"/>
    <n v="2800"/>
    <x v="6"/>
    <x v="3"/>
    <x v="2"/>
    <n v="1526"/>
    <x v="0"/>
    <x v="0"/>
  </r>
  <r>
    <x v="8"/>
    <n v="552"/>
    <n v="1035"/>
    <n v="552"/>
    <n v="1035"/>
    <x v="7"/>
    <x v="4"/>
    <x v="2"/>
    <n v="483"/>
    <x v="0"/>
    <x v="0"/>
  </r>
  <r>
    <x v="9"/>
    <n v="1740"/>
    <n v="2356"/>
    <n v="1740"/>
    <n v="2356"/>
    <x v="8"/>
    <x v="3"/>
    <x v="2"/>
    <n v="616"/>
    <x v="0"/>
    <x v="1"/>
  </r>
  <r>
    <x v="10"/>
    <n v="1580"/>
    <n v="2499"/>
    <n v="1580"/>
    <n v="2499"/>
    <x v="9"/>
    <x v="5"/>
    <x v="3"/>
    <n v="919"/>
    <x v="0"/>
    <x v="1"/>
  </r>
  <r>
    <x v="11"/>
    <n v="990"/>
    <n v="1500"/>
    <n v="990"/>
    <n v="1500"/>
    <x v="10"/>
    <x v="6"/>
    <x v="3"/>
    <n v="510"/>
    <x v="0"/>
    <x v="1"/>
  </r>
  <r>
    <x v="12"/>
    <n v="980"/>
    <n v="1490"/>
    <n v="980"/>
    <n v="1490"/>
    <x v="10"/>
    <x v="4"/>
    <x v="3"/>
    <n v="510"/>
    <x v="0"/>
    <x v="1"/>
  </r>
  <r>
    <x v="13"/>
    <n v="1940"/>
    <n v="2650"/>
    <n v="1940"/>
    <n v="2650"/>
    <x v="11"/>
    <x v="7"/>
    <x v="3"/>
    <n v="710"/>
    <x v="0"/>
    <x v="1"/>
  </r>
  <r>
    <x v="14"/>
    <n v="998"/>
    <n v="1966"/>
    <n v="998"/>
    <n v="1966"/>
    <x v="2"/>
    <x v="8"/>
    <x v="4"/>
    <n v="968"/>
    <x v="0"/>
    <x v="0"/>
  </r>
  <r>
    <x v="15"/>
    <n v="420"/>
    <n v="647"/>
    <n v="420"/>
    <n v="647"/>
    <x v="12"/>
    <x v="9"/>
    <x v="4"/>
    <n v="227"/>
    <x v="0"/>
    <x v="1"/>
  </r>
  <r>
    <x v="16"/>
    <n v="2199"/>
    <n v="2923"/>
    <n v="2199"/>
    <n v="2923"/>
    <x v="13"/>
    <x v="10"/>
    <x v="4"/>
    <n v="724"/>
    <x v="0"/>
    <x v="1"/>
  </r>
  <r>
    <x v="17"/>
    <n v="2319"/>
    <n v="3032"/>
    <n v="2319"/>
    <n v="3032"/>
    <x v="14"/>
    <x v="11"/>
    <x v="4"/>
    <n v="713"/>
    <x v="0"/>
    <x v="1"/>
  </r>
  <r>
    <x v="18"/>
    <n v="2999"/>
    <n v="3699"/>
    <n v="2999"/>
    <n v="3699"/>
    <x v="15"/>
    <x v="3"/>
    <x v="4"/>
    <n v="700"/>
    <x v="0"/>
    <x v="2"/>
  </r>
  <r>
    <x v="19"/>
    <n v="501"/>
    <n v="860"/>
    <n v="501"/>
    <n v="860"/>
    <x v="16"/>
    <x v="12"/>
    <x v="5"/>
    <n v="359"/>
    <x v="0"/>
    <x v="0"/>
  </r>
  <r>
    <x v="20"/>
    <n v="950"/>
    <n v="1525"/>
    <n v="950"/>
    <n v="1525"/>
    <x v="17"/>
    <x v="0"/>
    <x v="5"/>
    <n v="575"/>
    <x v="0"/>
    <x v="1"/>
  </r>
  <r>
    <x v="21"/>
    <s v=" 1,620 -  1,980"/>
    <s v=" 2,200 -  3,200"/>
    <n v="1620"/>
    <n v="2200"/>
    <x v="17"/>
    <x v="0"/>
    <x v="5"/>
    <n v="580"/>
    <x v="0"/>
    <x v="1"/>
  </r>
  <r>
    <x v="22"/>
    <n v="1980"/>
    <n v="2699"/>
    <n v="1980"/>
    <n v="2699"/>
    <x v="11"/>
    <x v="13"/>
    <x v="5"/>
    <n v="719"/>
    <x v="0"/>
    <x v="1"/>
  </r>
  <r>
    <x v="23"/>
    <n v="1650"/>
    <n v="2150"/>
    <n v="1650"/>
    <n v="2150"/>
    <x v="18"/>
    <x v="14"/>
    <x v="6"/>
    <n v="500"/>
    <x v="1"/>
    <x v="1"/>
  </r>
  <r>
    <x v="24"/>
    <n v="2048"/>
    <n v="4500"/>
    <n v="2048"/>
    <n v="4500"/>
    <x v="19"/>
    <x v="5"/>
    <x v="7"/>
    <n v="2452"/>
    <x v="1"/>
    <x v="0"/>
  </r>
  <r>
    <x v="25"/>
    <n v="185"/>
    <n v="382"/>
    <n v="185"/>
    <n v="382"/>
    <x v="20"/>
    <x v="15"/>
    <x v="7"/>
    <n v="197"/>
    <x v="1"/>
    <x v="0"/>
  </r>
  <r>
    <x v="26"/>
    <n v="1820"/>
    <n v="3490"/>
    <n v="1820"/>
    <n v="3490"/>
    <x v="21"/>
    <x v="15"/>
    <x v="7"/>
    <n v="1670"/>
    <x v="1"/>
    <x v="0"/>
  </r>
  <r>
    <x v="27"/>
    <n v="389"/>
    <n v="656"/>
    <n v="389"/>
    <n v="656"/>
    <x v="22"/>
    <x v="16"/>
    <x v="7"/>
    <n v="267"/>
    <x v="1"/>
    <x v="0"/>
  </r>
  <r>
    <x v="28"/>
    <n v="1680"/>
    <n v="2499"/>
    <n v="1680"/>
    <n v="2499"/>
    <x v="23"/>
    <x v="15"/>
    <x v="8"/>
    <n v="819"/>
    <x v="1"/>
    <x v="1"/>
  </r>
  <r>
    <x v="29"/>
    <n v="527"/>
    <n v="999"/>
    <n v="527"/>
    <n v="999"/>
    <x v="7"/>
    <x v="14"/>
    <x v="9"/>
    <n v="472"/>
    <x v="1"/>
    <x v="0"/>
  </r>
  <r>
    <x v="30"/>
    <n v="1758"/>
    <n v="2499"/>
    <n v="1758"/>
    <n v="2499"/>
    <x v="24"/>
    <x v="7"/>
    <x v="9"/>
    <n v="741"/>
    <x v="1"/>
    <x v="1"/>
  </r>
  <r>
    <x v="31"/>
    <n v="799"/>
    <n v="999"/>
    <n v="799"/>
    <n v="999"/>
    <x v="25"/>
    <x v="4"/>
    <x v="9"/>
    <n v="200"/>
    <x v="1"/>
    <x v="1"/>
  </r>
  <r>
    <x v="32"/>
    <n v="330"/>
    <n v="647"/>
    <n v="330"/>
    <n v="647"/>
    <x v="2"/>
    <x v="2"/>
    <x v="10"/>
    <n v="317"/>
    <x v="1"/>
    <x v="0"/>
  </r>
  <r>
    <x v="33"/>
    <n v="988"/>
    <n v="1580"/>
    <n v="988"/>
    <n v="1580"/>
    <x v="9"/>
    <x v="0"/>
    <x v="10"/>
    <n v="592"/>
    <x v="1"/>
    <x v="1"/>
  </r>
  <r>
    <x v="34"/>
    <n v="880"/>
    <n v="1350"/>
    <n v="880"/>
    <n v="1350"/>
    <x v="12"/>
    <x v="12"/>
    <x v="10"/>
    <n v="470"/>
    <x v="1"/>
    <x v="1"/>
  </r>
  <r>
    <x v="35"/>
    <n v="2999"/>
    <n v="3290"/>
    <n v="2999"/>
    <n v="3290"/>
    <x v="26"/>
    <x v="17"/>
    <x v="10"/>
    <n v="291"/>
    <x v="1"/>
    <x v="2"/>
  </r>
  <r>
    <x v="36"/>
    <n v="1600"/>
    <n v="2929"/>
    <n v="1600"/>
    <n v="2929"/>
    <x v="27"/>
    <x v="3"/>
    <x v="11"/>
    <n v="1329"/>
    <x v="1"/>
    <x v="0"/>
  </r>
  <r>
    <x v="37"/>
    <n v="1350"/>
    <n v="1990"/>
    <n v="1350"/>
    <n v="1990"/>
    <x v="28"/>
    <x v="18"/>
    <x v="11"/>
    <n v="640"/>
    <x v="1"/>
    <x v="1"/>
  </r>
  <r>
    <x v="38"/>
    <n v="2880"/>
    <n v="3520"/>
    <n v="2880"/>
    <n v="3520"/>
    <x v="29"/>
    <x v="4"/>
    <x v="11"/>
    <n v="640"/>
    <x v="1"/>
    <x v="2"/>
  </r>
  <r>
    <x v="39"/>
    <n v="38"/>
    <n v="80"/>
    <n v="38"/>
    <n v="80"/>
    <x v="0"/>
    <x v="18"/>
    <x v="12"/>
    <n v="42"/>
    <x v="1"/>
    <x v="0"/>
  </r>
  <r>
    <x v="40"/>
    <n v="458"/>
    <n v="986"/>
    <n v="458"/>
    <n v="986"/>
    <x v="19"/>
    <x v="19"/>
    <x v="13"/>
    <n v="528"/>
    <x v="1"/>
    <x v="0"/>
  </r>
  <r>
    <x v="41"/>
    <n v="1189"/>
    <n v="2199"/>
    <n v="1189"/>
    <n v="2199"/>
    <x v="3"/>
    <x v="2"/>
    <x v="13"/>
    <n v="1010"/>
    <x v="1"/>
    <x v="0"/>
  </r>
  <r>
    <x v="42"/>
    <n v="509"/>
    <n v="899"/>
    <n v="509"/>
    <n v="899"/>
    <x v="30"/>
    <x v="3"/>
    <x v="13"/>
    <n v="390"/>
    <x v="1"/>
    <x v="0"/>
  </r>
  <r>
    <x v="43"/>
    <n v="3750"/>
    <n v="6143"/>
    <n v="3750"/>
    <n v="6143"/>
    <x v="31"/>
    <x v="3"/>
    <x v="13"/>
    <n v="2393"/>
    <x v="1"/>
    <x v="1"/>
  </r>
  <r>
    <x v="44"/>
    <n v="2300"/>
    <n v="3240"/>
    <n v="2300"/>
    <n v="3240"/>
    <x v="32"/>
    <x v="3"/>
    <x v="13"/>
    <n v="940"/>
    <x v="1"/>
    <x v="1"/>
  </r>
  <r>
    <x v="45"/>
    <n v="1220"/>
    <n v="1555"/>
    <n v="1220"/>
    <n v="1555"/>
    <x v="33"/>
    <x v="20"/>
    <x v="14"/>
    <n v="335"/>
    <x v="2"/>
    <x v="1"/>
  </r>
  <r>
    <x v="46"/>
    <n v="445"/>
    <n v="873"/>
    <n v="445"/>
    <n v="873"/>
    <x v="2"/>
    <x v="21"/>
    <x v="15"/>
    <n v="428"/>
    <x v="2"/>
    <x v="0"/>
  </r>
  <r>
    <x v="47"/>
    <n v="325"/>
    <n v="680"/>
    <n v="325"/>
    <n v="680"/>
    <x v="20"/>
    <x v="17"/>
    <x v="16"/>
    <n v="355"/>
    <x v="2"/>
    <x v="0"/>
  </r>
  <r>
    <x v="48"/>
    <n v="382"/>
    <n v="700"/>
    <n v="382"/>
    <n v="700"/>
    <x v="27"/>
    <x v="22"/>
    <x v="17"/>
    <n v="318"/>
    <x v="2"/>
    <x v="0"/>
  </r>
  <r>
    <x v="49"/>
    <n v="2170"/>
    <n v="2500"/>
    <n v="2170"/>
    <n v="2500"/>
    <x v="34"/>
    <x v="12"/>
    <x v="18"/>
    <n v="330"/>
    <x v="2"/>
    <x v="2"/>
  </r>
  <r>
    <x v="50"/>
    <n v="1000"/>
    <n v="2000"/>
    <n v="1000"/>
    <n v="2000"/>
    <x v="35"/>
    <x v="5"/>
    <x v="19"/>
    <n v="1000"/>
    <x v="2"/>
    <x v="0"/>
  </r>
  <r>
    <x v="51"/>
    <n v="345"/>
    <n v="602"/>
    <n v="345"/>
    <n v="602"/>
    <x v="30"/>
    <x v="12"/>
    <x v="19"/>
    <n v="257"/>
    <x v="2"/>
    <x v="0"/>
  </r>
  <r>
    <x v="52"/>
    <n v="968"/>
    <n v="1814"/>
    <n v="968"/>
    <n v="1814"/>
    <x v="7"/>
    <x v="12"/>
    <x v="20"/>
    <n v="846"/>
    <x v="2"/>
    <x v="0"/>
  </r>
  <r>
    <x v="53"/>
    <n v="990"/>
    <n v="1814"/>
    <n v="990"/>
    <n v="1814"/>
    <x v="27"/>
    <x v="12"/>
    <x v="20"/>
    <n v="824"/>
    <x v="2"/>
    <x v="0"/>
  </r>
  <r>
    <x v="54"/>
    <n v="2115"/>
    <n v="4700"/>
    <n v="2115"/>
    <n v="4700"/>
    <x v="6"/>
    <x v="18"/>
    <x v="21"/>
    <n v="2585"/>
    <x v="2"/>
    <x v="0"/>
  </r>
  <r>
    <x v="55"/>
    <n v="1570"/>
    <n v="2988"/>
    <n v="1570"/>
    <n v="2988"/>
    <x v="7"/>
    <x v="5"/>
    <x v="21"/>
    <n v="1418"/>
    <x v="2"/>
    <x v="0"/>
  </r>
  <r>
    <x v="56"/>
    <n v="450"/>
    <n v="900"/>
    <n v="450"/>
    <n v="900"/>
    <x v="35"/>
    <x v="2"/>
    <x v="22"/>
    <n v="450"/>
    <x v="2"/>
    <x v="0"/>
  </r>
  <r>
    <x v="57"/>
    <n v="199"/>
    <n v="553"/>
    <n v="199"/>
    <n v="553"/>
    <x v="36"/>
    <x v="23"/>
    <x v="23"/>
    <n v="354"/>
    <x v="2"/>
    <x v="0"/>
  </r>
  <r>
    <x v="58"/>
    <n v="199"/>
    <n v="504"/>
    <n v="199"/>
    <n v="504"/>
    <x v="37"/>
    <x v="23"/>
    <x v="23"/>
    <n v="305"/>
    <x v="2"/>
    <x v="0"/>
  </r>
  <r>
    <x v="59"/>
    <n v="238"/>
    <n v="476"/>
    <n v="238"/>
    <n v="476"/>
    <x v="35"/>
    <x v="23"/>
    <x v="23"/>
    <n v="238"/>
    <x v="2"/>
    <x v="0"/>
  </r>
  <r>
    <x v="60"/>
    <n v="999"/>
    <n v="2000"/>
    <n v="999"/>
    <n v="2000"/>
    <x v="35"/>
    <x v="23"/>
    <x v="23"/>
    <n v="1001"/>
    <x v="2"/>
    <x v="0"/>
  </r>
  <r>
    <x v="61"/>
    <n v="299"/>
    <n v="600"/>
    <n v="299"/>
    <n v="600"/>
    <x v="35"/>
    <x v="23"/>
    <x v="23"/>
    <n v="301"/>
    <x v="2"/>
    <x v="0"/>
  </r>
  <r>
    <x v="62"/>
    <n v="850"/>
    <n v="1700"/>
    <n v="850"/>
    <n v="1700"/>
    <x v="35"/>
    <x v="23"/>
    <x v="23"/>
    <n v="850"/>
    <x v="2"/>
    <x v="0"/>
  </r>
  <r>
    <x v="63"/>
    <n v="1200"/>
    <n v="2400"/>
    <n v="1200"/>
    <n v="2400"/>
    <x v="35"/>
    <x v="23"/>
    <x v="23"/>
    <n v="1200"/>
    <x v="2"/>
    <x v="0"/>
  </r>
  <r>
    <x v="64"/>
    <n v="475"/>
    <n v="931"/>
    <n v="475"/>
    <n v="931"/>
    <x v="2"/>
    <x v="23"/>
    <x v="23"/>
    <n v="456"/>
    <x v="2"/>
    <x v="0"/>
  </r>
  <r>
    <x v="65"/>
    <n v="671"/>
    <n v="1316"/>
    <n v="671"/>
    <n v="1316"/>
    <x v="2"/>
    <x v="23"/>
    <x v="23"/>
    <n v="645"/>
    <x v="2"/>
    <x v="0"/>
  </r>
  <r>
    <x v="66"/>
    <n v="799"/>
    <n v="1567"/>
    <n v="799"/>
    <n v="1567"/>
    <x v="2"/>
    <x v="23"/>
    <x v="23"/>
    <n v="768"/>
    <x v="2"/>
    <x v="0"/>
  </r>
  <r>
    <x v="67"/>
    <n v="230"/>
    <n v="450"/>
    <n v="230"/>
    <n v="450"/>
    <x v="2"/>
    <x v="23"/>
    <x v="23"/>
    <n v="220"/>
    <x v="2"/>
    <x v="0"/>
  </r>
  <r>
    <x v="68"/>
    <n v="274"/>
    <n v="537"/>
    <n v="274"/>
    <n v="537"/>
    <x v="2"/>
    <x v="23"/>
    <x v="23"/>
    <n v="263"/>
    <x v="2"/>
    <x v="0"/>
  </r>
  <r>
    <x v="69"/>
    <n v="248"/>
    <n v="486"/>
    <n v="248"/>
    <n v="486"/>
    <x v="2"/>
    <x v="23"/>
    <x v="23"/>
    <n v="238"/>
    <x v="2"/>
    <x v="0"/>
  </r>
  <r>
    <x v="70"/>
    <n v="525"/>
    <n v="1029"/>
    <n v="525"/>
    <n v="1029"/>
    <x v="2"/>
    <x v="23"/>
    <x v="23"/>
    <n v="504"/>
    <x v="2"/>
    <x v="0"/>
  </r>
  <r>
    <x v="71"/>
    <n v="699"/>
    <n v="1343"/>
    <n v="699"/>
    <n v="1343"/>
    <x v="21"/>
    <x v="23"/>
    <x v="23"/>
    <n v="644"/>
    <x v="2"/>
    <x v="0"/>
  </r>
  <r>
    <x v="72"/>
    <n v="1300"/>
    <n v="2500"/>
    <n v="1300"/>
    <n v="2500"/>
    <x v="21"/>
    <x v="23"/>
    <x v="23"/>
    <n v="1200"/>
    <x v="2"/>
    <x v="0"/>
  </r>
  <r>
    <x v="73"/>
    <n v="105"/>
    <n v="200"/>
    <n v="105"/>
    <n v="200"/>
    <x v="21"/>
    <x v="23"/>
    <x v="23"/>
    <n v="95"/>
    <x v="2"/>
    <x v="0"/>
  </r>
  <r>
    <x v="74"/>
    <n v="790"/>
    <n v="1485"/>
    <n v="790"/>
    <n v="1485"/>
    <x v="7"/>
    <x v="23"/>
    <x v="23"/>
    <n v="695"/>
    <x v="2"/>
    <x v="0"/>
  </r>
  <r>
    <x v="75"/>
    <n v="899"/>
    <n v="1699"/>
    <n v="899"/>
    <n v="1699"/>
    <x v="7"/>
    <x v="23"/>
    <x v="23"/>
    <n v="800"/>
    <x v="2"/>
    <x v="0"/>
  </r>
  <r>
    <x v="76"/>
    <n v="169"/>
    <n v="320"/>
    <n v="169"/>
    <n v="320"/>
    <x v="7"/>
    <x v="23"/>
    <x v="23"/>
    <n v="151"/>
    <x v="2"/>
    <x v="0"/>
  </r>
  <r>
    <x v="77"/>
    <n v="2200"/>
    <n v="4080"/>
    <n v="2200"/>
    <n v="4080"/>
    <x v="3"/>
    <x v="23"/>
    <x v="23"/>
    <n v="1880"/>
    <x v="2"/>
    <x v="0"/>
  </r>
  <r>
    <x v="78"/>
    <n v="499"/>
    <n v="900"/>
    <n v="499"/>
    <n v="900"/>
    <x v="27"/>
    <x v="23"/>
    <x v="23"/>
    <n v="401"/>
    <x v="2"/>
    <x v="0"/>
  </r>
  <r>
    <x v="79"/>
    <n v="690"/>
    <n v="1200"/>
    <n v="690"/>
    <n v="1200"/>
    <x v="30"/>
    <x v="23"/>
    <x v="23"/>
    <n v="510"/>
    <x v="2"/>
    <x v="0"/>
  </r>
  <r>
    <x v="80"/>
    <n v="630"/>
    <n v="1100"/>
    <n v="630"/>
    <n v="1100"/>
    <x v="30"/>
    <x v="23"/>
    <x v="23"/>
    <n v="470"/>
    <x v="2"/>
    <x v="0"/>
  </r>
  <r>
    <x v="81"/>
    <n v="1860"/>
    <n v="3220"/>
    <n v="1860"/>
    <n v="3220"/>
    <x v="16"/>
    <x v="23"/>
    <x v="23"/>
    <n v="1360"/>
    <x v="2"/>
    <x v="0"/>
  </r>
  <r>
    <x v="82"/>
    <n v="610"/>
    <n v="1060"/>
    <n v="610"/>
    <n v="1060"/>
    <x v="16"/>
    <x v="23"/>
    <x v="23"/>
    <n v="450"/>
    <x v="2"/>
    <x v="0"/>
  </r>
  <r>
    <x v="83"/>
    <n v="1080"/>
    <n v="1874"/>
    <n v="1080"/>
    <n v="1874"/>
    <x v="16"/>
    <x v="23"/>
    <x v="23"/>
    <n v="794"/>
    <x v="2"/>
    <x v="0"/>
  </r>
  <r>
    <x v="84"/>
    <n v="799"/>
    <n v="1343"/>
    <n v="799"/>
    <n v="1343"/>
    <x v="22"/>
    <x v="23"/>
    <x v="23"/>
    <n v="544"/>
    <x v="2"/>
    <x v="0"/>
  </r>
  <r>
    <x v="85"/>
    <n v="1420"/>
    <n v="2420"/>
    <n v="1420"/>
    <n v="2420"/>
    <x v="22"/>
    <x v="23"/>
    <x v="23"/>
    <n v="1000"/>
    <x v="2"/>
    <x v="0"/>
  </r>
  <r>
    <x v="86"/>
    <n v="2750"/>
    <n v="4471"/>
    <n v="2750"/>
    <n v="4471"/>
    <x v="17"/>
    <x v="23"/>
    <x v="23"/>
    <n v="1721"/>
    <x v="2"/>
    <x v="1"/>
  </r>
  <r>
    <x v="87"/>
    <n v="1200"/>
    <n v="1950"/>
    <n v="1200"/>
    <n v="1950"/>
    <x v="17"/>
    <x v="23"/>
    <x v="23"/>
    <n v="750"/>
    <x v="2"/>
    <x v="1"/>
  </r>
  <r>
    <x v="88"/>
    <n v="1460"/>
    <n v="2290"/>
    <n v="1460"/>
    <n v="2290"/>
    <x v="38"/>
    <x v="23"/>
    <x v="23"/>
    <n v="830"/>
    <x v="2"/>
    <x v="1"/>
  </r>
  <r>
    <x v="89"/>
    <n v="1150"/>
    <n v="1737"/>
    <n v="1150"/>
    <n v="1737"/>
    <x v="10"/>
    <x v="23"/>
    <x v="23"/>
    <n v="587"/>
    <x v="2"/>
    <x v="1"/>
  </r>
  <r>
    <x v="90"/>
    <n v="1190"/>
    <n v="1810"/>
    <n v="1190"/>
    <n v="1810"/>
    <x v="10"/>
    <x v="23"/>
    <x v="23"/>
    <n v="620"/>
    <x v="2"/>
    <x v="1"/>
  </r>
  <r>
    <x v="91"/>
    <n v="1190"/>
    <n v="1785"/>
    <n v="1190"/>
    <n v="1785"/>
    <x v="23"/>
    <x v="23"/>
    <x v="23"/>
    <n v="595"/>
    <x v="2"/>
    <x v="1"/>
  </r>
  <r>
    <x v="92"/>
    <n v="2799"/>
    <n v="3810"/>
    <n v="2799"/>
    <n v="3810"/>
    <x v="11"/>
    <x v="23"/>
    <x v="23"/>
    <n v="1011"/>
    <x v="2"/>
    <x v="1"/>
  </r>
  <r>
    <x v="93"/>
    <n v="198"/>
    <n v="260"/>
    <n v="198"/>
    <n v="260"/>
    <x v="14"/>
    <x v="23"/>
    <x v="23"/>
    <n v="62"/>
    <x v="2"/>
    <x v="1"/>
  </r>
  <r>
    <x v="94"/>
    <n v="299"/>
    <n v="384"/>
    <n v="299"/>
    <n v="384"/>
    <x v="33"/>
    <x v="23"/>
    <x v="23"/>
    <n v="85"/>
    <x v="2"/>
    <x v="1"/>
  </r>
  <r>
    <x v="95"/>
    <n v="1466"/>
    <n v="1699"/>
    <n v="1466"/>
    <n v="1699"/>
    <x v="39"/>
    <x v="23"/>
    <x v="23"/>
    <n v="233"/>
    <x v="2"/>
    <x v="2"/>
  </r>
  <r>
    <x v="96"/>
    <n v="1468"/>
    <n v="1699"/>
    <n v="1468"/>
    <n v="1699"/>
    <x v="39"/>
    <x v="23"/>
    <x v="23"/>
    <n v="231"/>
    <x v="2"/>
    <x v="2"/>
  </r>
  <r>
    <x v="97"/>
    <n v="799"/>
    <n v="900"/>
    <n v="799"/>
    <n v="900"/>
    <x v="40"/>
    <x v="23"/>
    <x v="23"/>
    <n v="101"/>
    <x v="2"/>
    <x v="2"/>
  </r>
  <r>
    <x v="98"/>
    <n v="1526"/>
    <n v="1660"/>
    <n v="1526"/>
    <n v="1660"/>
    <x v="41"/>
    <x v="23"/>
    <x v="23"/>
    <n v="134"/>
    <x v="2"/>
    <x v="2"/>
  </r>
  <r>
    <x v="99"/>
    <n v="1732"/>
    <n v="1799"/>
    <n v="1732"/>
    <n v="1799"/>
    <x v="42"/>
    <x v="23"/>
    <x v="23"/>
    <n v="67"/>
    <x v="2"/>
    <x v="2"/>
  </r>
  <r>
    <x v="100"/>
    <n v="3546"/>
    <n v="3699"/>
    <n v="3546"/>
    <n v="3699"/>
    <x v="42"/>
    <x v="23"/>
    <x v="23"/>
    <n v="153"/>
    <x v="2"/>
    <x v="2"/>
  </r>
  <r>
    <x v="101"/>
    <n v="1459"/>
    <n v="1499"/>
    <n v="1459"/>
    <n v="1499"/>
    <x v="43"/>
    <x v="23"/>
    <x v="23"/>
    <n v="40"/>
    <x v="2"/>
    <x v="2"/>
  </r>
  <r>
    <x v="102"/>
    <n v="2132"/>
    <n v="2169"/>
    <n v="2132"/>
    <n v="2169"/>
    <x v="44"/>
    <x v="23"/>
    <x v="23"/>
    <n v="37"/>
    <x v="2"/>
    <x v="2"/>
  </r>
  <r>
    <x v="103"/>
    <n v="1660"/>
    <n v="1699"/>
    <n v="1660"/>
    <n v="1699"/>
    <x v="44"/>
    <x v="23"/>
    <x v="23"/>
    <n v="39"/>
    <x v="2"/>
    <x v="2"/>
  </r>
  <r>
    <x v="104"/>
    <n v="1666"/>
    <n v="1699"/>
    <n v="1666"/>
    <n v="1699"/>
    <x v="44"/>
    <x v="23"/>
    <x v="23"/>
    <n v="33"/>
    <x v="2"/>
    <x v="2"/>
  </r>
  <r>
    <x v="105"/>
    <n v="1462"/>
    <n v="1499"/>
    <n v="1462"/>
    <n v="1499"/>
    <x v="44"/>
    <x v="23"/>
    <x v="23"/>
    <n v="37"/>
    <x v="2"/>
    <x v="2"/>
  </r>
  <r>
    <x v="106"/>
    <n v="1658"/>
    <n v="1699"/>
    <n v="1658"/>
    <n v="1699"/>
    <x v="44"/>
    <x v="23"/>
    <x v="23"/>
    <n v="41"/>
    <x v="2"/>
    <x v="2"/>
  </r>
  <r>
    <x v="107"/>
    <n v="1768"/>
    <n v="1799"/>
    <n v="1768"/>
    <n v="1799"/>
    <x v="44"/>
    <x v="23"/>
    <x v="23"/>
    <n v="31"/>
    <x v="2"/>
    <x v="2"/>
  </r>
  <r>
    <x v="108"/>
    <n v="1875"/>
    <n v="1899"/>
    <n v="1875"/>
    <n v="1899"/>
    <x v="45"/>
    <x v="23"/>
    <x v="23"/>
    <n v="24"/>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3:K16" firstHeaderRow="0" firstDataRow="1" firstDataCol="2"/>
  <pivotFields count="11">
    <pivotField dataField="1" compact="0" showAll="0"/>
    <pivotField compact="0" showAll="0"/>
    <pivotField compact="0" showAll="0"/>
    <pivotField dataField="1" compact="0" showAll="0"/>
    <pivotField dataField="1" compact="0" showAll="0"/>
    <pivotField dataField="1" compact="0" showAll="0"/>
    <pivotField compact="0" showAll="0"/>
    <pivotField dataField="1" compact="0" showAll="0"/>
    <pivotField compact="0" showAll="0"/>
    <pivotField axis="axisRow" compact="0" showAll="0">
      <items count="5">
        <item x="1"/>
        <item x="0"/>
        <item x="2"/>
        <item m="1" x="3"/>
        <item t="default"/>
      </items>
    </pivotField>
    <pivotField axis="axisRow" compact="0" showAll="0">
      <items count="5">
        <item x="0"/>
        <item x="2"/>
        <item x="1"/>
        <item m="1" x="3"/>
        <item t="default"/>
      </items>
    </pivotField>
  </pivotFields>
  <rowFields count="2">
    <field x="9"/>
    <field x="10"/>
  </rowFields>
  <rowItems count="13">
    <i>
      <x/>
    </i>
    <i r="1">
      <x/>
    </i>
    <i r="1">
      <x v="1"/>
    </i>
    <i r="1">
      <x v="2"/>
    </i>
    <i>
      <x v="1"/>
    </i>
    <i r="1">
      <x/>
    </i>
    <i r="1">
      <x v="1"/>
    </i>
    <i r="1">
      <x v="2"/>
    </i>
    <i>
      <x v="2"/>
    </i>
    <i r="1">
      <x/>
    </i>
    <i r="1">
      <x v="1"/>
    </i>
    <i r="1">
      <x v="2"/>
    </i>
    <i t="grand">
      <x/>
    </i>
  </rowItems>
  <colFields count="1">
    <field x="-2"/>
  </colFields>
  <colItems count="9">
    <i>
      <x/>
    </i>
    <i i="1">
      <x v="1"/>
    </i>
    <i i="2">
      <x v="2"/>
    </i>
    <i i="3">
      <x v="3"/>
    </i>
    <i i="4">
      <x v="4"/>
    </i>
    <i i="5">
      <x v="5"/>
    </i>
    <i i="6">
      <x v="6"/>
    </i>
    <i i="7">
      <x v="7"/>
    </i>
    <i i="8">
      <x v="8"/>
    </i>
  </colItems>
  <dataFields count="9">
    <dataField name="Max of Current Price updated" fld="3" subtotal="max" baseField="0" baseItem="0"/>
    <dataField name="Average of Current Price updated" fld="3" subtotal="average" baseField="0" baseItem="0"/>
    <dataField name="Average of Discount" fld="5" subtotal="average" baseField="0" baseItem="0"/>
    <dataField name="Average of Old Price updated" fld="4" subtotal="average" baseField="0" baseItem="0"/>
    <dataField name="Average of Rating" fld="7" subtotal="average" baseField="0" baseItem="0"/>
    <dataField name="Min of Current Price updated" fld="3" subtotal="min" baseField="0" baseItem="0"/>
    <dataField name="Count of Product" fld="0" subtotal="count" baseField="0" baseItem="0"/>
    <dataField name="Average of Discount2" fld="5" subtotal="average" baseField="0" baseItem="0"/>
    <dataField name="Average of Rating2" fld="7" subtotal="average"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16" applyNumberFormats="0" applyBorderFormats="0" applyFontFormats="0" applyPatternFormats="0" applyAlignmentFormats="0" applyWidthHeightFormats="1" dataCaption="Values" showMissing="0" updatedVersion="6" minRefreshableVersion="3" useAutoFormatting="1" rowGrandTotals="0" colGrandTotals="0" itemPrintTitles="1" createdVersion="5" indent="0" outline="1" outlineData="1" multipleFieldFilters="0" chartFormat="2">
  <location ref="C9:D12" firstHeaderRow="1" firstDataRow="1" firstDataCol="1"/>
  <pivotFields count="11">
    <pivotField dataField="1" outline="0" showAll="0" defaultSubtotal="0"/>
    <pivotField showAll="0"/>
    <pivotField showAll="0"/>
    <pivotField showAll="0"/>
    <pivotField showAll="0"/>
    <pivotField showAll="0"/>
    <pivotField showAll="0"/>
    <pivotField showAll="0"/>
    <pivotField showAll="0"/>
    <pivotField showAll="0"/>
    <pivotField axis="axisRow" showAll="0">
      <items count="5">
        <item x="0"/>
        <item x="2"/>
        <item x="1"/>
        <item m="1" x="3"/>
        <item t="default"/>
      </items>
    </pivotField>
  </pivotFields>
  <rowFields count="1">
    <field x="10"/>
  </rowFields>
  <rowItems count="3">
    <i>
      <x/>
    </i>
    <i>
      <x v="1"/>
    </i>
    <i>
      <x v="2"/>
    </i>
  </rowItems>
  <colItems count="1">
    <i/>
  </colItems>
  <dataFields count="1">
    <dataField name="Count of Product" fld="0" subtotal="count" baseField="0" baseItem="0"/>
  </dataFields>
  <formats count="3">
    <format dxfId="19">
      <pivotArea type="all" dataOnly="0" outline="0" fieldPosition="0"/>
    </format>
    <format dxfId="20">
      <pivotArea type="all" dataOnly="0" outline="0" fieldPosition="0"/>
    </format>
    <format dxfId="21">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6" applyNumberFormats="0" applyBorderFormats="0" applyFontFormats="0" applyPatternFormats="0" applyAlignmentFormats="0" applyWidthHeightFormats="1" dataCaption="Values" showMissing="0" updatedVersion="6" minRefreshableVersion="3" useAutoFormatting="1" rowGrandTotals="0" colGrandTotals="0" itemPrintTitles="1" createdVersion="5" indent="0" outline="1" outlineData="1" multipleFieldFilters="0" chartFormat="3">
  <location ref="C4:D7" firstHeaderRow="1" firstDataRow="1" firstDataCol="1"/>
  <pivotFields count="11">
    <pivotField dataField="1" outline="0" showAll="0" defaultSubtotal="0"/>
    <pivotField showAll="0"/>
    <pivotField showAll="0"/>
    <pivotField showAll="0"/>
    <pivotField showAll="0"/>
    <pivotField showAll="0"/>
    <pivotField showAll="0"/>
    <pivotField showAll="0"/>
    <pivotField showAll="0"/>
    <pivotField axis="axisRow" showAll="0">
      <items count="5">
        <item x="1"/>
        <item x="0"/>
        <item x="2"/>
        <item m="1" x="3"/>
        <item t="default"/>
      </items>
    </pivotField>
    <pivotField showAll="0"/>
  </pivotFields>
  <rowFields count="1">
    <field x="9"/>
  </rowFields>
  <rowItems count="3">
    <i>
      <x/>
    </i>
    <i>
      <x v="1"/>
    </i>
    <i>
      <x v="2"/>
    </i>
  </rowItems>
  <colItems count="1">
    <i/>
  </colItems>
  <dataFields count="1">
    <dataField name="Count of Product" fld="0" subtotal="count" baseField="0" baseItem="0"/>
  </dataFields>
  <formats count="3">
    <format dxfId="22">
      <pivotArea type="all" dataOnly="0" outline="0" fieldPosition="0"/>
    </format>
    <format dxfId="23">
      <pivotArea type="all" dataOnly="0" outline="0" fieldPosition="0"/>
    </format>
    <format dxfId="24">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6" applyNumberFormats="0" applyBorderFormats="0" applyFontFormats="0" applyPatternFormats="0" applyAlignmentFormats="0" applyWidthHeightFormats="1" dataCaption="Values" showMissing="0" updatedVersion="6" minRefreshableVersion="3" useAutoFormatting="1" rowGrandTotals="0" colGrandTotals="0" itemPrintTitles="1" createdVersion="5" indent="0" outline="1" outlineData="1" multipleFieldFilters="0">
  <location ref="C31:D37" firstHeaderRow="1" firstDataRow="1" firstDataCol="1"/>
  <pivotFields count="11">
    <pivotField axis="axisRow" outline="0" showAll="0" measureFilter="1" sortType="descending" defaultSubtotal="0">
      <items count="110">
        <item m="1" x="109"/>
        <item x="42"/>
        <item x="10"/>
        <item x="51"/>
        <item x="96"/>
        <item x="56"/>
        <item x="98"/>
        <item x="62"/>
        <item x="45"/>
        <item x="107"/>
        <item x="78"/>
        <item x="106"/>
        <item x="102"/>
        <item x="73"/>
        <item x="27"/>
        <item x="72"/>
        <item x="38"/>
        <item x="105"/>
        <item x="16"/>
        <item x="9"/>
        <item x="94"/>
        <item x="103"/>
        <item x="4"/>
        <item x="97"/>
        <item x="95"/>
        <item x="40"/>
        <item x="101"/>
        <item x="77"/>
        <item x="80"/>
        <item x="28"/>
        <item x="59"/>
        <item x="100"/>
        <item x="29"/>
        <item x="41"/>
        <item x="18"/>
        <item x="89"/>
        <item x="34"/>
        <item x="26"/>
        <item x="86"/>
        <item x="7"/>
        <item x="19"/>
        <item x="2"/>
        <item x="24"/>
        <item x="44"/>
        <item x="6"/>
        <item x="47"/>
        <item x="32"/>
        <item x="31"/>
        <item x="23"/>
        <item x="25"/>
        <item x="15"/>
        <item x="55"/>
        <item x="5"/>
        <item x="33"/>
        <item x="84"/>
        <item x="99"/>
        <item x="58"/>
        <item x="0"/>
        <item x="71"/>
        <item x="60"/>
        <item x="90"/>
        <item x="68"/>
        <item x="65"/>
        <item x="61"/>
        <item x="76"/>
        <item x="3"/>
        <item x="82"/>
        <item x="70"/>
        <item x="53"/>
        <item x="1"/>
        <item x="66"/>
        <item x="48"/>
        <item x="85"/>
        <item x="83"/>
        <item x="52"/>
        <item x="67"/>
        <item x="91"/>
        <item x="75"/>
        <item x="57"/>
        <item x="54"/>
        <item x="88"/>
        <item x="13"/>
        <item x="22"/>
        <item x="30"/>
        <item x="49"/>
        <item x="81"/>
        <item x="64"/>
        <item x="8"/>
        <item x="69"/>
        <item x="39"/>
        <item x="79"/>
        <item x="14"/>
        <item x="50"/>
        <item x="43"/>
        <item x="74"/>
        <item x="87"/>
        <item x="63"/>
        <item x="108"/>
        <item x="35"/>
        <item x="104"/>
        <item x="93"/>
        <item x="17"/>
        <item x="36"/>
        <item x="92"/>
        <item x="46"/>
        <item x="12"/>
        <item x="37"/>
        <item x="20"/>
        <item x="11"/>
        <item x="21"/>
      </items>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25"/>
    </i>
    <i>
      <x v="39"/>
    </i>
    <i>
      <x v="42"/>
    </i>
    <i>
      <x v="56"/>
    </i>
    <i>
      <x v="78"/>
    </i>
    <i>
      <x v="79"/>
    </i>
  </rowItems>
  <colItems count="1">
    <i/>
  </colItems>
  <dataFields count="1">
    <dataField name="Sum of Discount" fld="5" baseField="0" baseItem="0"/>
  </dataFields>
  <formats count="5">
    <format dxfId="47">
      <pivotArea type="all" dataOnly="0" outline="0" fieldPosition="0"/>
    </format>
    <format dxfId="46">
      <pivotArea type="all" dataOnly="0" outline="0" fieldPosition="0"/>
    </format>
    <format dxfId="45">
      <pivotArea outline="0" collapsedLevelsAreSubtotals="1" fieldPosition="0"/>
    </format>
    <format dxfId="44">
      <pivotArea outline="0" collapsedLevelsAreSubtotals="1" fieldPosition="0">
        <references count="1">
          <reference field="0" count="6" selected="0">
            <x v="25"/>
            <x v="39"/>
            <x v="42"/>
            <x v="56"/>
            <x v="78"/>
            <x v="79"/>
          </reference>
        </references>
      </pivotArea>
    </format>
    <format dxfId="43">
      <pivotArea grandRow="1" outline="0" collapsedLevelsAreSubtotals="1" fieldPosition="0"/>
    </format>
  </formats>
  <pivotTableStyleInfo name="PivotStylePreset2_Accent1"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16" applyNumberFormats="0" applyBorderFormats="0" applyFontFormats="0" applyPatternFormats="0" applyAlignmentFormats="0" applyWidthHeightFormats="1" dataCaption="Values" showMissing="0" updatedVersion="6" minRefreshableVersion="3" useAutoFormatting="1" rowGrandTotals="0" colGrandTotals="0" itemPrintTitles="1" createdVersion="5" indent="0" outline="1" outlineData="1" multipleFieldFilters="0">
  <location ref="C23:D28" firstHeaderRow="1" firstDataRow="1" firstDataCol="1"/>
  <pivotFields count="11">
    <pivotField axis="axisRow" outline="0" showAll="0" measureFilter="1" defaultSubtotal="0">
      <items count="110">
        <item x="21"/>
        <item x="11"/>
        <item x="20"/>
        <item x="37"/>
        <item x="12"/>
        <item x="46"/>
        <item x="92"/>
        <item x="36"/>
        <item x="17"/>
        <item x="93"/>
        <item x="104"/>
        <item x="35"/>
        <item x="108"/>
        <item x="63"/>
        <item x="87"/>
        <item x="74"/>
        <item x="43"/>
        <item x="50"/>
        <item x="14"/>
        <item x="79"/>
        <item x="39"/>
        <item x="69"/>
        <item x="8"/>
        <item x="64"/>
        <item x="81"/>
        <item x="49"/>
        <item x="30"/>
        <item x="22"/>
        <item x="13"/>
        <item x="88"/>
        <item x="54"/>
        <item x="57"/>
        <item x="75"/>
        <item x="91"/>
        <item x="67"/>
        <item x="52"/>
        <item x="83"/>
        <item x="85"/>
        <item x="48"/>
        <item x="66"/>
        <item x="1"/>
        <item x="53"/>
        <item x="70"/>
        <item x="82"/>
        <item x="3"/>
        <item x="76"/>
        <item x="61"/>
        <item x="65"/>
        <item x="68"/>
        <item x="90"/>
        <item x="60"/>
        <item x="71"/>
        <item x="0"/>
        <item x="58"/>
        <item x="99"/>
        <item x="84"/>
        <item x="33"/>
        <item x="5"/>
        <item x="55"/>
        <item x="15"/>
        <item x="25"/>
        <item x="23"/>
        <item x="31"/>
        <item x="32"/>
        <item x="47"/>
        <item x="6"/>
        <item x="44"/>
        <item x="24"/>
        <item x="2"/>
        <item x="19"/>
        <item x="7"/>
        <item x="86"/>
        <item x="26"/>
        <item x="34"/>
        <item x="89"/>
        <item x="18"/>
        <item x="41"/>
        <item x="29"/>
        <item x="100"/>
        <item x="59"/>
        <item x="28"/>
        <item x="80"/>
        <item x="77"/>
        <item x="101"/>
        <item x="40"/>
        <item x="95"/>
        <item x="97"/>
        <item x="4"/>
        <item x="103"/>
        <item x="94"/>
        <item x="9"/>
        <item x="16"/>
        <item x="105"/>
        <item x="38"/>
        <item x="72"/>
        <item x="27"/>
        <item x="73"/>
        <item x="102"/>
        <item x="106"/>
        <item x="78"/>
        <item x="107"/>
        <item x="45"/>
        <item x="62"/>
        <item x="98"/>
        <item x="56"/>
        <item x="96"/>
        <item x="51"/>
        <item x="10"/>
        <item x="42"/>
        <item m="1" x="109"/>
      </items>
    </pivotField>
    <pivotField showAll="0"/>
    <pivotField showAll="0"/>
    <pivotField showAll="0"/>
    <pivotField showAll="0"/>
    <pivotField showAll="0"/>
    <pivotField dataField="1" showAll="0"/>
    <pivotField showAll="0"/>
    <pivotField showAll="0"/>
    <pivotField showAll="0"/>
    <pivotField showAll="0"/>
  </pivotFields>
  <rowFields count="1">
    <field x="0"/>
  </rowFields>
  <rowItems count="5">
    <i>
      <x v="1"/>
    </i>
    <i>
      <x v="5"/>
    </i>
    <i>
      <x v="8"/>
    </i>
    <i>
      <x v="18"/>
    </i>
    <i>
      <x v="59"/>
    </i>
  </rowItems>
  <colItems count="1">
    <i/>
  </colItems>
  <dataFields count="1">
    <dataField name="Sum of Review" fld="6" baseField="0" baseItem="0"/>
  </dataFields>
  <formats count="3">
    <format dxfId="16">
      <pivotArea type="all" dataOnly="0" outline="0" fieldPosition="0"/>
    </format>
    <format dxfId="17">
      <pivotArea type="all" dataOnly="0" outline="0" fieldPosition="0"/>
    </format>
    <format dxfId="18">
      <pivotArea outline="0" collapsedLevelsAreSubtotals="1" fieldPosition="0"/>
    </format>
  </formats>
  <pivotTableStyleInfo name="PivotStylePreset2_Accent1"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16" applyNumberFormats="0" applyBorderFormats="0" applyFontFormats="0" applyPatternFormats="0" applyAlignmentFormats="0" applyWidthHeightFormats="1" dataCaption="Values" showMissing="0" updatedVersion="6" minRefreshableVersion="3" useAutoFormatting="1" rowGrandTotals="0" colGrandTotals="0" itemPrintTitles="1" createdVersion="5" indent="0" outline="1" outlineData="1" multipleFieldFilters="0">
  <location ref="C14:D21" firstHeaderRow="1" firstDataRow="1" firstDataCol="1"/>
  <pivotFields count="11">
    <pivotField axis="axisRow" outline="0" showAll="0" measureFilter="1" defaultSubtotal="0">
      <items count="110">
        <item x="21"/>
        <item x="11"/>
        <item x="20"/>
        <item x="37"/>
        <item x="12"/>
        <item x="46"/>
        <item x="92"/>
        <item x="36"/>
        <item x="17"/>
        <item x="93"/>
        <item x="104"/>
        <item x="35"/>
        <item x="108"/>
        <item x="63"/>
        <item x="87"/>
        <item x="74"/>
        <item x="43"/>
        <item x="50"/>
        <item x="14"/>
        <item x="79"/>
        <item x="39"/>
        <item x="69"/>
        <item x="8"/>
        <item x="64"/>
        <item x="81"/>
        <item x="49"/>
        <item x="30"/>
        <item x="22"/>
        <item x="13"/>
        <item x="88"/>
        <item x="54"/>
        <item x="57"/>
        <item x="75"/>
        <item x="91"/>
        <item x="67"/>
        <item x="52"/>
        <item x="83"/>
        <item x="85"/>
        <item x="48"/>
        <item x="66"/>
        <item x="1"/>
        <item x="53"/>
        <item x="70"/>
        <item x="82"/>
        <item x="3"/>
        <item x="76"/>
        <item x="61"/>
        <item x="65"/>
        <item x="68"/>
        <item x="90"/>
        <item x="60"/>
        <item x="71"/>
        <item x="0"/>
        <item x="58"/>
        <item x="99"/>
        <item x="84"/>
        <item x="33"/>
        <item x="5"/>
        <item x="55"/>
        <item x="15"/>
        <item x="25"/>
        <item x="23"/>
        <item x="31"/>
        <item x="32"/>
        <item x="47"/>
        <item x="6"/>
        <item x="44"/>
        <item x="24"/>
        <item x="2"/>
        <item x="19"/>
        <item x="7"/>
        <item x="86"/>
        <item x="26"/>
        <item x="34"/>
        <item x="89"/>
        <item x="18"/>
        <item x="41"/>
        <item x="29"/>
        <item x="100"/>
        <item x="59"/>
        <item x="28"/>
        <item x="80"/>
        <item x="77"/>
        <item x="101"/>
        <item x="40"/>
        <item x="95"/>
        <item x="97"/>
        <item x="4"/>
        <item x="103"/>
        <item x="94"/>
        <item x="9"/>
        <item x="16"/>
        <item x="105"/>
        <item x="38"/>
        <item x="72"/>
        <item x="27"/>
        <item x="73"/>
        <item x="102"/>
        <item x="106"/>
        <item x="78"/>
        <item x="107"/>
        <item x="45"/>
        <item x="62"/>
        <item x="98"/>
        <item x="56"/>
        <item x="96"/>
        <item x="51"/>
        <item x="10"/>
        <item x="42"/>
        <item m="1" x="109"/>
      </items>
    </pivotField>
    <pivotField showAll="0"/>
    <pivotField showAll="0"/>
    <pivotField showAll="0"/>
    <pivotField showAll="0"/>
    <pivotField showAll="0"/>
    <pivotField showAll="0"/>
    <pivotField dataField="1" showAll="0"/>
    <pivotField showAll="0"/>
    <pivotField showAll="0"/>
    <pivotField showAll="0"/>
  </pivotFields>
  <rowFields count="1">
    <field x="0"/>
  </rowFields>
  <rowItems count="7">
    <i>
      <x v="40"/>
    </i>
    <i>
      <x v="44"/>
    </i>
    <i>
      <x v="52"/>
    </i>
    <i>
      <x v="57"/>
    </i>
    <i>
      <x v="65"/>
    </i>
    <i>
      <x v="68"/>
    </i>
    <i>
      <x v="87"/>
    </i>
  </rowItems>
  <colItems count="1">
    <i/>
  </colItems>
  <dataFields count="1">
    <dataField name="Average of Rating" fld="7" subtotal="average" baseField="0" baseItem="0"/>
  </dataFields>
  <formats count="4">
    <format dxfId="51">
      <pivotArea type="all" dataOnly="0" outline="0" fieldPosition="0"/>
    </format>
    <format dxfId="50">
      <pivotArea type="all" dataOnly="0" outline="0" fieldPosition="0"/>
    </format>
    <format dxfId="49">
      <pivotArea outline="0" collapsedLevelsAreSubtotals="1" fieldPosition="0"/>
    </format>
    <format dxfId="48">
      <pivotArea dataOnly="0" labelOnly="1" outline="0" fieldPosition="0">
        <references count="1">
          <reference field="4294967294" count="1">
            <x v="0"/>
          </reference>
        </references>
      </pivotArea>
    </format>
  </formats>
  <pivotTableStyleInfo name="PivotStylePreset2_Accent1"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16" applyNumberFormats="0" applyBorderFormats="0" applyFontFormats="0" applyPatternFormats="0" applyAlignmentFormats="0" applyWidthHeightFormats="1" dataCaption="Values" showMissing="0" updatedVersion="6" minRefreshableVersion="3" useAutoFormatting="1" itemPrintTitles="1" createdVersion="5" indent="0" outline="1" outlineData="1" multipleFieldFilters="0">
  <location ref="A1:D2" firstHeaderRow="0" firstDataRow="1" firstDataCol="0"/>
  <pivotFields count="11">
    <pivotField dataField="1" outline="0" showAll="0" defaultSubtotal="0">
      <items count="110">
        <item x="21"/>
        <item x="11"/>
        <item x="20"/>
        <item x="37"/>
        <item x="12"/>
        <item x="46"/>
        <item x="92"/>
        <item x="36"/>
        <item x="17"/>
        <item x="93"/>
        <item x="104"/>
        <item x="35"/>
        <item x="108"/>
        <item x="63"/>
        <item x="87"/>
        <item x="74"/>
        <item x="43"/>
        <item x="50"/>
        <item x="14"/>
        <item x="79"/>
        <item x="39"/>
        <item x="69"/>
        <item x="8"/>
        <item x="64"/>
        <item x="81"/>
        <item x="49"/>
        <item x="30"/>
        <item x="22"/>
        <item x="13"/>
        <item x="88"/>
        <item x="54"/>
        <item x="57"/>
        <item x="75"/>
        <item x="91"/>
        <item x="67"/>
        <item x="52"/>
        <item x="83"/>
        <item x="85"/>
        <item x="48"/>
        <item x="66"/>
        <item x="1"/>
        <item x="53"/>
        <item x="70"/>
        <item x="82"/>
        <item x="3"/>
        <item x="76"/>
        <item x="61"/>
        <item x="65"/>
        <item x="68"/>
        <item x="90"/>
        <item x="60"/>
        <item x="71"/>
        <item x="0"/>
        <item x="58"/>
        <item x="99"/>
        <item x="84"/>
        <item x="33"/>
        <item x="5"/>
        <item x="55"/>
        <item x="15"/>
        <item x="25"/>
        <item x="23"/>
        <item x="31"/>
        <item x="32"/>
        <item x="47"/>
        <item x="6"/>
        <item x="44"/>
        <item x="24"/>
        <item x="2"/>
        <item x="19"/>
        <item x="7"/>
        <item x="86"/>
        <item x="26"/>
        <item x="34"/>
        <item x="89"/>
        <item x="18"/>
        <item x="41"/>
        <item x="29"/>
        <item x="100"/>
        <item x="59"/>
        <item x="28"/>
        <item x="80"/>
        <item x="77"/>
        <item x="101"/>
        <item x="40"/>
        <item x="95"/>
        <item x="97"/>
        <item x="4"/>
        <item x="103"/>
        <item x="94"/>
        <item x="9"/>
        <item x="16"/>
        <item x="105"/>
        <item x="38"/>
        <item x="72"/>
        <item x="27"/>
        <item x="73"/>
        <item x="102"/>
        <item x="106"/>
        <item x="78"/>
        <item x="107"/>
        <item x="45"/>
        <item x="62"/>
        <item x="98"/>
        <item x="56"/>
        <item x="96"/>
        <item x="51"/>
        <item x="10"/>
        <item x="42"/>
        <item m="1" x="109"/>
      </items>
    </pivotField>
    <pivotField showAll="0"/>
    <pivotField showAll="0"/>
    <pivotField showAll="0"/>
    <pivotField showAll="0"/>
    <pivotField dataField="1" showAll="0"/>
    <pivotField dataField="1" showAll="0"/>
    <pivotField dataField="1" showAll="0"/>
    <pivotField showAll="0"/>
    <pivotField showAll="0">
      <items count="5">
        <item x="1"/>
        <item x="0"/>
        <item x="2"/>
        <item m="1" x="3"/>
        <item t="default"/>
      </items>
    </pivotField>
    <pivotField showAll="0">
      <items count="5">
        <item x="0"/>
        <item x="2"/>
        <item x="1"/>
        <item m="1" x="3"/>
        <item t="default"/>
      </items>
    </pivotField>
  </pivotFields>
  <rowItems count="1">
    <i/>
  </rowItems>
  <colFields count="1">
    <field x="-2"/>
  </colFields>
  <colItems count="4">
    <i>
      <x/>
    </i>
    <i i="1">
      <x v="1"/>
    </i>
    <i i="2">
      <x v="2"/>
    </i>
    <i i="3">
      <x v="3"/>
    </i>
  </colItems>
  <dataFields count="4">
    <dataField name="Count of Product" fld="0" subtotal="count" baseField="0" baseItem="0"/>
    <dataField name="Average of Rating" fld="7" subtotal="average" baseField="0" baseItem="0" numFmtId="173"/>
    <dataField name="Average of Discount" fld="5" subtotal="average" baseField="0" baseItem="1" numFmtId="9"/>
    <dataField name="Count of Review" fld="6" subtotal="count" baseField="0" baseItem="1"/>
  </dataFields>
  <formats count="15">
    <format dxfId="56">
      <pivotArea type="all" dataOnly="0" outline="0" fieldPosition="0"/>
    </format>
    <format dxfId="55">
      <pivotArea outline="0" collapsedLevelsAreSubtotals="1" fieldPosition="0">
        <references count="1">
          <reference field="4294967294" count="1" selected="0">
            <x v="2"/>
          </reference>
        </references>
      </pivotArea>
    </format>
    <format dxfId="54">
      <pivotArea type="all" dataOnly="0" outline="0" fieldPosition="0"/>
    </format>
    <format dxfId="53">
      <pivotArea outline="0" collapsedLevelsAreSubtotals="1" fieldPosition="0"/>
    </format>
    <format dxfId="52">
      <pivotArea dataOnly="0" labelOnly="1" outline="0" fieldPosition="0">
        <references count="1">
          <reference field="4294967294" count="3">
            <x v="1"/>
            <x v="2"/>
            <x v="3"/>
          </reference>
        </references>
      </pivotArea>
    </format>
    <format dxfId="34">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1"/>
          </reference>
        </references>
      </pivotArea>
    </format>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1"/>
          </reference>
        </references>
      </pivotArea>
    </format>
    <format dxfId="28">
      <pivotArea outline="0" collapsedLevelsAreSubtotals="1" fieldPosition="0">
        <references count="1">
          <reference field="4294967294" count="1" selected="0">
            <x v="1"/>
          </reference>
        </references>
      </pivotArea>
    </format>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1"/>
          </reference>
        </references>
      </pivotArea>
    </format>
    <format dxfId="25">
      <pivotArea outline="0" collapsedLevelsAreSubtotals="1" fieldPosition="0">
        <references count="1">
          <reference field="4294967294" count="1" selected="0">
            <x v="1"/>
          </reference>
        </references>
      </pivotArea>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2">
  <location ref="A3:B50" firstHeaderRow="1" firstDataRow="1" firstDataCol="1"/>
  <pivotFields count="11">
    <pivotField compact="0" showAll="0"/>
    <pivotField compact="0" showAll="0"/>
    <pivotField compact="0" showAll="0"/>
    <pivotField compact="0" showAll="0"/>
    <pivotField compact="0" showAll="0"/>
    <pivotField axis="axisRow" compact="0" multipleItemSelectionAllowed="1"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dataField="1" compact="0" showAll="0"/>
    <pivotField compact="0" showAll="0"/>
    <pivotField compact="0" showAll="0"/>
    <pivotField compact="0" showAll="0"/>
    <pivotField compact="0" showAll="0"/>
  </pivotFields>
  <rowFields count="1">
    <field x="5"/>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of Review" fld="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2">
  <location ref="A3:B28" firstHeaderRow="1" firstDataRow="1" firstDataCol="1"/>
  <pivotFields count="11">
    <pivotField compact="0" showAll="0"/>
    <pivotField compact="0" showAll="0"/>
    <pivotField compact="0" showAll="0"/>
    <pivotField compact="0" showAll="0"/>
    <pivotField compact="0" showAll="0"/>
    <pivotField compact="0" showAll="0"/>
    <pivotField dataField="1" compact="0" showAll="0"/>
    <pivotField axis="axisRow" compact="0" multipleItemSelectionAllowed="1" showAll="0">
      <items count="25">
        <item x="0"/>
        <item x="2"/>
        <item x="3"/>
        <item x="4"/>
        <item x="5"/>
        <item x="6"/>
        <item x="7"/>
        <item x="8"/>
        <item x="9"/>
        <item x="10"/>
        <item x="11"/>
        <item x="12"/>
        <item x="13"/>
        <item x="14"/>
        <item x="15"/>
        <item x="16"/>
        <item x="17"/>
        <item x="18"/>
        <item x="19"/>
        <item x="20"/>
        <item x="21"/>
        <item x="22"/>
        <item x="23"/>
        <item x="1"/>
        <item t="default"/>
      </items>
    </pivotField>
    <pivotField compact="0" showAll="0"/>
    <pivotField compact="0" showAll="0"/>
    <pivotField compact="0"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Review" fld="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3:B14" firstHeaderRow="1" firstDataRow="1" firstDataCol="1"/>
  <pivotFields count="11">
    <pivotField axis="axisRow" compact="0" subtotalTop="0" showAll="0" measureFilter="1" sortType="descending" sumSubtotal="1">
      <items count="111">
        <item x="21"/>
        <item x="11"/>
        <item x="20"/>
        <item x="37"/>
        <item x="12"/>
        <item x="46"/>
        <item x="92"/>
        <item x="36"/>
        <item x="17"/>
        <item x="93"/>
        <item x="104"/>
        <item x="35"/>
        <item x="108"/>
        <item x="63"/>
        <item x="87"/>
        <item x="74"/>
        <item x="43"/>
        <item x="50"/>
        <item x="14"/>
        <item x="79"/>
        <item x="39"/>
        <item x="69"/>
        <item x="8"/>
        <item x="64"/>
        <item x="81"/>
        <item x="49"/>
        <item x="30"/>
        <item x="22"/>
        <item x="13"/>
        <item x="88"/>
        <item x="54"/>
        <item x="57"/>
        <item x="75"/>
        <item x="91"/>
        <item x="67"/>
        <item x="52"/>
        <item x="83"/>
        <item x="85"/>
        <item x="48"/>
        <item x="66"/>
        <item x="1"/>
        <item x="53"/>
        <item x="70"/>
        <item x="82"/>
        <item x="3"/>
        <item x="76"/>
        <item x="61"/>
        <item x="65"/>
        <item x="68"/>
        <item x="90"/>
        <item x="60"/>
        <item x="71"/>
        <item x="0"/>
        <item x="58"/>
        <item x="99"/>
        <item x="84"/>
        <item x="33"/>
        <item x="5"/>
        <item x="55"/>
        <item x="15"/>
        <item x="25"/>
        <item x="23"/>
        <item x="31"/>
        <item x="32"/>
        <item x="47"/>
        <item x="6"/>
        <item x="44"/>
        <item x="24"/>
        <item x="2"/>
        <item x="19"/>
        <item x="7"/>
        <item x="86"/>
        <item x="26"/>
        <item x="34"/>
        <item x="89"/>
        <item x="18"/>
        <item x="41"/>
        <item x="29"/>
        <item x="100"/>
        <item x="59"/>
        <item x="28"/>
        <item x="80"/>
        <item x="77"/>
        <item x="101"/>
        <item x="40"/>
        <item x="95"/>
        <item x="97"/>
        <item x="4"/>
        <item x="103"/>
        <item x="94"/>
        <item x="9"/>
        <item x="16"/>
        <item x="105"/>
        <item x="38"/>
        <item x="72"/>
        <item x="27"/>
        <item x="73"/>
        <item x="102"/>
        <item x="106"/>
        <item x="78"/>
        <item x="107"/>
        <item x="45"/>
        <item x="62"/>
        <item x="98"/>
        <item x="56"/>
        <item x="96"/>
        <item x="51"/>
        <item x="10"/>
        <item x="42"/>
        <item m="1" x="109"/>
        <item t="sum"/>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dataField="1" compact="0" multipleItemSelectionAllowed="1" showAll="0"/>
    <pivotField compact="0" showAll="0"/>
    <pivotField compact="0" showAll="0"/>
  </pivotFields>
  <rowFields count="1">
    <field x="0"/>
  </rowFields>
  <rowItems count="11">
    <i>
      <x v="30"/>
    </i>
    <i>
      <x v="67"/>
    </i>
    <i>
      <x v="16"/>
    </i>
    <i>
      <x v="68"/>
    </i>
    <i>
      <x v="82"/>
    </i>
    <i>
      <x v="71"/>
    </i>
    <i>
      <x v="72"/>
    </i>
    <i>
      <x v="70"/>
    </i>
    <i>
      <x v="58"/>
    </i>
    <i>
      <x v="24"/>
    </i>
    <i t="grand">
      <x/>
    </i>
  </rowItems>
  <colItems count="1">
    <i/>
  </colItems>
  <dataFields count="1">
    <dataField name="&quot;Top 10&quot; by &quot;Sum of Discount Amount&quot;" fld="8" baseField="0" baseItem="0"/>
  </dataFields>
  <pivotTableStyleInfo name="PivotStylePreset2_Accent1" showRowHeaders="1" showColHeaders="1" showRowStripes="0" showColStripes="0" showLastColumn="0"/>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3:B14" firstHeaderRow="1" firstDataRow="1" firstDataCol="1"/>
  <pivotFields count="11">
    <pivotField axis="axisRow" compact="0" showAll="0" measureFilter="1" sortType="descending">
      <items count="111">
        <item x="21"/>
        <item x="11"/>
        <item x="20"/>
        <item x="37"/>
        <item x="12"/>
        <item x="46"/>
        <item x="92"/>
        <item x="36"/>
        <item x="17"/>
        <item x="93"/>
        <item x="104"/>
        <item x="35"/>
        <item x="108"/>
        <item x="63"/>
        <item x="87"/>
        <item x="74"/>
        <item x="43"/>
        <item x="50"/>
        <item x="14"/>
        <item x="79"/>
        <item x="39"/>
        <item x="69"/>
        <item x="8"/>
        <item x="64"/>
        <item x="81"/>
        <item x="49"/>
        <item x="30"/>
        <item x="22"/>
        <item x="13"/>
        <item x="88"/>
        <item x="54"/>
        <item x="57"/>
        <item x="75"/>
        <item x="91"/>
        <item x="67"/>
        <item x="52"/>
        <item x="83"/>
        <item x="85"/>
        <item x="48"/>
        <item x="66"/>
        <item x="1"/>
        <item x="53"/>
        <item x="70"/>
        <item x="82"/>
        <item x="3"/>
        <item x="76"/>
        <item x="61"/>
        <item x="65"/>
        <item x="68"/>
        <item x="90"/>
        <item x="60"/>
        <item x="71"/>
        <item x="0"/>
        <item x="58"/>
        <item x="99"/>
        <item x="84"/>
        <item x="33"/>
        <item x="5"/>
        <item x="55"/>
        <item x="15"/>
        <item x="25"/>
        <item x="23"/>
        <item x="31"/>
        <item x="32"/>
        <item x="47"/>
        <item x="6"/>
        <item x="44"/>
        <item x="24"/>
        <item x="2"/>
        <item x="19"/>
        <item x="7"/>
        <item x="86"/>
        <item x="26"/>
        <item x="34"/>
        <item x="89"/>
        <item x="18"/>
        <item x="41"/>
        <item x="29"/>
        <item x="100"/>
        <item x="59"/>
        <item x="28"/>
        <item x="80"/>
        <item x="77"/>
        <item x="101"/>
        <item x="40"/>
        <item x="95"/>
        <item x="97"/>
        <item x="4"/>
        <item x="103"/>
        <item x="94"/>
        <item x="9"/>
        <item x="16"/>
        <item x="105"/>
        <item x="38"/>
        <item x="72"/>
        <item x="27"/>
        <item x="73"/>
        <item x="102"/>
        <item x="106"/>
        <item x="78"/>
        <item x="107"/>
        <item x="45"/>
        <item x="62"/>
        <item x="98"/>
        <item x="56"/>
        <item x="96"/>
        <item x="51"/>
        <item x="10"/>
        <item x="42"/>
        <item m="1" x="109"/>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s>
  <rowFields count="1">
    <field x="0"/>
  </rowFields>
  <rowItems count="11">
    <i>
      <x v="5"/>
    </i>
    <i>
      <x v="8"/>
    </i>
    <i>
      <x v="59"/>
    </i>
    <i>
      <x v="18"/>
    </i>
    <i>
      <x v="1"/>
    </i>
    <i>
      <x v="95"/>
    </i>
    <i>
      <x v="27"/>
    </i>
    <i>
      <x v="91"/>
    </i>
    <i>
      <x v="28"/>
    </i>
    <i>
      <x v="26"/>
    </i>
    <i t="grand">
      <x/>
    </i>
  </rowItems>
  <colItems count="1">
    <i/>
  </colItems>
  <dataFields count="1">
    <dataField name="&quot;Top 10&quot;by &quot;Sum of Review&quot;" fld="6" baseField="0" baseItem="0" numFmtId="165"/>
  </dataFields>
  <formats count="6">
    <format dxfId="42">
      <pivotArea outline="0" collapsedLevelsAreSubtotals="1" fieldPosition="0"/>
    </format>
    <format dxfId="41">
      <pivotArea dataOnly="0" labelOnly="1" outline="0" axis="axisValues" fieldPosition="0"/>
    </format>
    <format dxfId="40">
      <pivotArea dataOnly="0" labelOnly="1" outline="0" axis="axisValues" fieldPosition="0"/>
    </format>
    <format dxfId="39">
      <pivotArea outline="0" collapsedLevelsAreSubtotals="1" fieldPosition="0"/>
    </format>
    <format dxfId="38">
      <pivotArea dataOnly="0" labelOnly="1" outline="0" axis="axisValues" fieldPosition="0"/>
    </format>
    <format dxfId="37">
      <pivotArea dataOnly="0" labelOnly="1" outline="0" axis="axisValues" fieldPosition="0"/>
    </format>
  </formats>
  <pivotTableStyleInfo name="PivotStylePreset2_Accent1" showRowHeaders="1" showColHeaders="1" showRowStripes="0" showColStripes="0" showLastColumn="0"/>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3:B113" firstHeaderRow="1" firstDataRow="1" firstDataCol="1"/>
  <pivotFields count="11">
    <pivotField axis="axisRow" compact="0" showAll="0" sortType="descending">
      <items count="111">
        <item x="21"/>
        <item x="11"/>
        <item x="20"/>
        <item x="37"/>
        <item x="12"/>
        <item x="46"/>
        <item x="92"/>
        <item x="36"/>
        <item x="17"/>
        <item x="93"/>
        <item x="104"/>
        <item x="35"/>
        <item x="108"/>
        <item x="63"/>
        <item x="87"/>
        <item x="74"/>
        <item x="43"/>
        <item x="50"/>
        <item x="14"/>
        <item x="79"/>
        <item x="39"/>
        <item x="69"/>
        <item x="8"/>
        <item x="64"/>
        <item x="81"/>
        <item x="49"/>
        <item x="30"/>
        <item x="22"/>
        <item x="13"/>
        <item x="88"/>
        <item x="54"/>
        <item x="57"/>
        <item x="75"/>
        <item x="91"/>
        <item x="67"/>
        <item x="52"/>
        <item x="83"/>
        <item x="85"/>
        <item x="48"/>
        <item x="66"/>
        <item x="1"/>
        <item x="53"/>
        <item x="70"/>
        <item x="82"/>
        <item x="3"/>
        <item x="76"/>
        <item x="61"/>
        <item x="65"/>
        <item x="68"/>
        <item x="90"/>
        <item x="60"/>
        <item x="71"/>
        <item x="0"/>
        <item x="58"/>
        <item x="99"/>
        <item x="84"/>
        <item x="33"/>
        <item x="5"/>
        <item x="55"/>
        <item x="15"/>
        <item x="25"/>
        <item x="23"/>
        <item x="31"/>
        <item x="32"/>
        <item x="47"/>
        <item x="6"/>
        <item x="44"/>
        <item x="24"/>
        <item x="2"/>
        <item x="19"/>
        <item x="7"/>
        <item x="86"/>
        <item x="26"/>
        <item x="34"/>
        <item x="89"/>
        <item x="18"/>
        <item x="41"/>
        <item x="29"/>
        <item x="100"/>
        <item x="59"/>
        <item x="28"/>
        <item x="80"/>
        <item x="77"/>
        <item x="101"/>
        <item x="40"/>
        <item x="95"/>
        <item x="97"/>
        <item x="4"/>
        <item x="103"/>
        <item x="94"/>
        <item x="9"/>
        <item x="16"/>
        <item x="105"/>
        <item x="38"/>
        <item x="72"/>
        <item x="27"/>
        <item x="73"/>
        <item x="102"/>
        <item x="106"/>
        <item x="78"/>
        <item x="107"/>
        <item x="45"/>
        <item x="62"/>
        <item x="98"/>
        <item x="56"/>
        <item x="96"/>
        <item x="51"/>
        <item x="10"/>
        <item x="42"/>
        <item m="1" x="109"/>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0"/>
  </rowFields>
  <rowItems count="110">
    <i>
      <x v="68"/>
    </i>
    <i>
      <x v="52"/>
    </i>
    <i>
      <x v="65"/>
    </i>
    <i>
      <x v="40"/>
    </i>
    <i>
      <x v="87"/>
    </i>
    <i>
      <x v="44"/>
    </i>
    <i>
      <x v="57"/>
    </i>
    <i>
      <x v="22"/>
    </i>
    <i>
      <x v="90"/>
    </i>
    <i>
      <x v="70"/>
    </i>
    <i>
      <x v="4"/>
    </i>
    <i>
      <x v="1"/>
    </i>
    <i>
      <x v="28"/>
    </i>
    <i>
      <x v="107"/>
    </i>
    <i>
      <x v="8"/>
    </i>
    <i>
      <x v="75"/>
    </i>
    <i>
      <x v="18"/>
    </i>
    <i>
      <x v="91"/>
    </i>
    <i>
      <x v="59"/>
    </i>
    <i>
      <x v="27"/>
    </i>
    <i>
      <x v="69"/>
    </i>
    <i>
      <x/>
    </i>
    <i>
      <x v="2"/>
    </i>
    <i>
      <x v="61"/>
    </i>
    <i>
      <x v="72"/>
    </i>
    <i>
      <x v="95"/>
    </i>
    <i>
      <x v="67"/>
    </i>
    <i>
      <x v="60"/>
    </i>
    <i>
      <x v="80"/>
    </i>
    <i>
      <x v="77"/>
    </i>
    <i>
      <x v="26"/>
    </i>
    <i>
      <x v="62"/>
    </i>
    <i>
      <x v="56"/>
    </i>
    <i>
      <x v="63"/>
    </i>
    <i>
      <x v="11"/>
    </i>
    <i>
      <x v="73"/>
    </i>
    <i>
      <x v="7"/>
    </i>
    <i>
      <x v="93"/>
    </i>
    <i>
      <x v="3"/>
    </i>
    <i>
      <x v="20"/>
    </i>
    <i>
      <x v="84"/>
    </i>
    <i>
      <x v="66"/>
    </i>
    <i>
      <x v="16"/>
    </i>
    <i>
      <x v="76"/>
    </i>
    <i>
      <x v="108"/>
    </i>
    <i>
      <x v="101"/>
    </i>
    <i>
      <x v="5"/>
    </i>
    <i>
      <x v="64"/>
    </i>
    <i>
      <x v="38"/>
    </i>
    <i>
      <x v="25"/>
    </i>
    <i>
      <x v="106"/>
    </i>
    <i>
      <x v="17"/>
    </i>
    <i>
      <x v="41"/>
    </i>
    <i>
      <x v="35"/>
    </i>
    <i>
      <x v="58"/>
    </i>
    <i>
      <x v="30"/>
    </i>
    <i>
      <x v="104"/>
    </i>
    <i>
      <x v="88"/>
    </i>
    <i>
      <x v="19"/>
    </i>
    <i>
      <x v="96"/>
    </i>
    <i>
      <x v="55"/>
    </i>
    <i>
      <x v="39"/>
    </i>
    <i>
      <x v="47"/>
    </i>
    <i>
      <x v="92"/>
    </i>
    <i>
      <x v="23"/>
    </i>
    <i>
      <x v="100"/>
    </i>
    <i>
      <x v="24"/>
    </i>
    <i>
      <x v="82"/>
    </i>
    <i>
      <x v="48"/>
    </i>
    <i>
      <x v="86"/>
    </i>
    <i>
      <x v="12"/>
    </i>
    <i>
      <x v="51"/>
    </i>
    <i>
      <x v="49"/>
    </i>
    <i>
      <x v="94"/>
    </i>
    <i>
      <x v="13"/>
    </i>
    <i>
      <x v="98"/>
    </i>
    <i>
      <x v="14"/>
    </i>
    <i>
      <x v="102"/>
    </i>
    <i>
      <x v="29"/>
    </i>
    <i>
      <x v="81"/>
    </i>
    <i>
      <x v="10"/>
    </i>
    <i>
      <x v="83"/>
    </i>
    <i>
      <x v="31"/>
    </i>
    <i>
      <x v="85"/>
    </i>
    <i>
      <x v="32"/>
    </i>
    <i>
      <x v="15"/>
    </i>
    <i>
      <x v="71"/>
    </i>
    <i>
      <x v="89"/>
    </i>
    <i>
      <x v="33"/>
    </i>
    <i>
      <x v="42"/>
    </i>
    <i>
      <x v="34"/>
    </i>
    <i>
      <x v="43"/>
    </i>
    <i>
      <x v="74"/>
    </i>
    <i>
      <x v="6"/>
    </i>
    <i>
      <x v="45"/>
    </i>
    <i>
      <x v="97"/>
    </i>
    <i>
      <x v="36"/>
    </i>
    <i>
      <x v="99"/>
    </i>
    <i>
      <x v="37"/>
    </i>
    <i>
      <x v="46"/>
    </i>
    <i>
      <x v="103"/>
    </i>
    <i>
      <x v="21"/>
    </i>
    <i>
      <x v="105"/>
    </i>
    <i>
      <x v="78"/>
    </i>
    <i>
      <x v="9"/>
    </i>
    <i>
      <x v="79"/>
    </i>
    <i>
      <x v="50"/>
    </i>
    <i>
      <x v="53"/>
    </i>
    <i>
      <x v="54"/>
    </i>
    <i t="grand">
      <x/>
    </i>
  </rowItems>
  <colItems count="1">
    <i/>
  </colItems>
  <dataFields count="1">
    <dataField name="&quot;Top 5&quot; by &quot;Sum of Rating&quot;" fld="7" baseField="0" baseItem="0"/>
  </dataFields>
  <conditionalFormats count="2">
    <conditionalFormat type="all" priority="1">
      <pivotAreas count="1">
        <pivotArea type="data" collapsedLevelsAreSubtotals="1" fieldPosition="0">
          <references count="2">
            <reference field="4294967294" count="1" selected="0">
              <x v="0"/>
            </reference>
            <reference field="0" count="11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reference>
          </references>
        </pivotArea>
      </pivotAreas>
    </conditionalFormat>
    <conditionalFormat type="all" priority="2">
      <pivotAreas count="1">
        <pivotArea type="data" collapsedLevelsAreSubtotals="1" fieldPosition="0">
          <references count="2">
            <reference field="4294967294" count="1" selected="0">
              <x v="0"/>
            </reference>
            <reference field="0" count="1">
              <x v="87"/>
            </reference>
          </references>
        </pivotArea>
      </pivotAreas>
    </conditionalFormat>
  </conditional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9">
  <location ref="A3:D22" firstHeaderRow="1" firstDataRow="2" firstDataCol="1"/>
  <pivotFields count="11">
    <pivotField showAll="0"/>
    <pivotField showAll="0"/>
    <pivotField showAll="0"/>
    <pivotField showAll="0"/>
    <pivotField showAll="0"/>
    <pivotField showAll="0"/>
    <pivotField axis="axisRow" showAll="0">
      <items count="25">
        <item x="23"/>
        <item x="2"/>
        <item x="0"/>
        <item x="1"/>
        <item x="3"/>
        <item x="12"/>
        <item x="5"/>
        <item x="15"/>
        <item x="19"/>
        <item x="4"/>
        <item x="18"/>
        <item x="14"/>
        <item x="17"/>
        <item x="20"/>
        <item x="22"/>
        <item x="7"/>
        <item x="10"/>
        <item x="13"/>
        <item x="16"/>
        <item x="6"/>
        <item x="8"/>
        <item x="9"/>
        <item x="11"/>
        <item x="21"/>
        <item t="default"/>
      </items>
    </pivotField>
    <pivotField dataField="1" showAll="0"/>
    <pivotField showAll="0"/>
    <pivotField showAll="0"/>
    <pivotField axis="axisCol" showAll="0">
      <items count="5">
        <item x="0"/>
        <item x="2"/>
        <item h="1" x="1"/>
        <item h="1" m="1" x="3"/>
        <item t="default"/>
      </items>
    </pivotField>
  </pivotFields>
  <rowFields count="1">
    <field x="6"/>
  </rowFields>
  <rowItems count="18">
    <i>
      <x/>
    </i>
    <i>
      <x v="1"/>
    </i>
    <i>
      <x v="2"/>
    </i>
    <i>
      <x v="3"/>
    </i>
    <i>
      <x v="4"/>
    </i>
    <i>
      <x v="5"/>
    </i>
    <i>
      <x v="6"/>
    </i>
    <i>
      <x v="7"/>
    </i>
    <i>
      <x v="8"/>
    </i>
    <i>
      <x v="9"/>
    </i>
    <i>
      <x v="10"/>
    </i>
    <i>
      <x v="11"/>
    </i>
    <i>
      <x v="12"/>
    </i>
    <i>
      <x v="14"/>
    </i>
    <i>
      <x v="18"/>
    </i>
    <i>
      <x v="20"/>
    </i>
    <i>
      <x v="23"/>
    </i>
    <i t="grand">
      <x/>
    </i>
  </rowItems>
  <colFields count="1">
    <field x="10"/>
  </colFields>
  <colItems count="3">
    <i>
      <x/>
    </i>
    <i>
      <x v="1"/>
    </i>
    <i t="grand">
      <x/>
    </i>
  </colItems>
  <dataFields count="1">
    <dataField name="Count of Rating" fld="7" subtotal="count" baseField="0" baseItem="0"/>
  </dataFields>
  <formats count="2">
    <format dxfId="36">
      <pivotArea type="all" dataOnly="0" outline="0" fieldPosition="0"/>
    </format>
    <format dxfId="35">
      <pivotArea type="all" dataOnly="0" outline="0" fieldPosition="0"/>
    </format>
  </formats>
  <chartFormats count="5">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18" format="0" series="1">
      <pivotArea type="data" outline="0" fieldPosition="0">
        <references count="2">
          <reference field="4294967294" count="1" selected="0">
            <x v="0"/>
          </reference>
          <reference field="10" count="1" selected="0">
            <x v="0"/>
          </reference>
        </references>
      </pivotArea>
    </chartFormat>
    <chartFormat chart="18" format="1" series="1">
      <pivotArea type="data" outline="0" fieldPosition="0">
        <references count="2">
          <reference field="4294967294" count="1" selected="0">
            <x v="0"/>
          </reference>
          <reference field="10"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3:B113" firstHeaderRow="1" firstDataRow="1" firstDataCol="1"/>
  <pivotFields count="11">
    <pivotField axis="axisRow" compact="0" showAll="0" sortType="ascending">
      <items count="111">
        <item x="21"/>
        <item x="11"/>
        <item x="20"/>
        <item x="37"/>
        <item x="12"/>
        <item x="46"/>
        <item x="92"/>
        <item x="36"/>
        <item x="17"/>
        <item x="93"/>
        <item x="104"/>
        <item x="35"/>
        <item x="108"/>
        <item x="63"/>
        <item x="87"/>
        <item x="74"/>
        <item x="43"/>
        <item x="50"/>
        <item x="14"/>
        <item x="79"/>
        <item x="39"/>
        <item x="69"/>
        <item x="8"/>
        <item x="64"/>
        <item x="81"/>
        <item x="49"/>
        <item x="30"/>
        <item x="22"/>
        <item x="13"/>
        <item x="88"/>
        <item x="54"/>
        <item x="57"/>
        <item x="75"/>
        <item x="91"/>
        <item x="67"/>
        <item x="52"/>
        <item x="83"/>
        <item x="85"/>
        <item x="48"/>
        <item x="66"/>
        <item x="1"/>
        <item x="53"/>
        <item x="70"/>
        <item x="82"/>
        <item x="3"/>
        <item x="76"/>
        <item x="61"/>
        <item x="65"/>
        <item x="68"/>
        <item x="90"/>
        <item x="60"/>
        <item x="71"/>
        <item x="0"/>
        <item x="58"/>
        <item x="99"/>
        <item x="84"/>
        <item x="33"/>
        <item x="5"/>
        <item x="55"/>
        <item x="15"/>
        <item x="25"/>
        <item x="23"/>
        <item x="31"/>
        <item x="32"/>
        <item x="47"/>
        <item x="6"/>
        <item x="44"/>
        <item x="24"/>
        <item x="2"/>
        <item x="19"/>
        <item x="7"/>
        <item x="86"/>
        <item x="26"/>
        <item x="34"/>
        <item x="89"/>
        <item x="18"/>
        <item x="41"/>
        <item x="29"/>
        <item x="100"/>
        <item x="59"/>
        <item x="28"/>
        <item x="80"/>
        <item x="77"/>
        <item x="101"/>
        <item x="40"/>
        <item x="95"/>
        <item x="97"/>
        <item x="4"/>
        <item x="103"/>
        <item x="94"/>
        <item x="9"/>
        <item x="16"/>
        <item x="105"/>
        <item x="38"/>
        <item x="72"/>
        <item x="27"/>
        <item x="73"/>
        <item x="102"/>
        <item x="106"/>
        <item x="78"/>
        <item x="107"/>
        <item x="45"/>
        <item x="62"/>
        <item x="98"/>
        <item x="56"/>
        <item x="96"/>
        <item x="51"/>
        <item x="10"/>
        <item x="42"/>
        <item m="1" x="109"/>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0"/>
  </rowFields>
  <rowItems count="110">
    <i>
      <x v="54"/>
    </i>
    <i>
      <x v="53"/>
    </i>
    <i>
      <x v="46"/>
    </i>
    <i>
      <x v="47"/>
    </i>
    <i>
      <x v="6"/>
    </i>
    <i>
      <x v="48"/>
    </i>
    <i>
      <x v="103"/>
    </i>
    <i>
      <x v="49"/>
    </i>
    <i>
      <x v="12"/>
    </i>
    <i>
      <x v="50"/>
    </i>
    <i>
      <x v="14"/>
    </i>
    <i>
      <x v="51"/>
    </i>
    <i>
      <x v="19"/>
    </i>
    <i>
      <x v="55"/>
    </i>
    <i>
      <x v="23"/>
    </i>
    <i>
      <x v="71"/>
    </i>
    <i>
      <x v="29"/>
    </i>
    <i>
      <x v="74"/>
    </i>
    <i>
      <x v="32"/>
    </i>
    <i>
      <x v="78"/>
    </i>
    <i>
      <x v="34"/>
    </i>
    <i>
      <x v="79"/>
    </i>
    <i>
      <x v="37"/>
    </i>
    <i>
      <x v="81"/>
    </i>
    <i>
      <x v="42"/>
    </i>
    <i>
      <x v="82"/>
    </i>
    <i>
      <x v="45"/>
    </i>
    <i>
      <x v="83"/>
    </i>
    <i>
      <x v="9"/>
    </i>
    <i>
      <x v="85"/>
    </i>
    <i>
      <x v="13"/>
    </i>
    <i>
      <x v="86"/>
    </i>
    <i>
      <x v="21"/>
    </i>
    <i>
      <x v="88"/>
    </i>
    <i>
      <x v="31"/>
    </i>
    <i>
      <x v="89"/>
    </i>
    <i>
      <x v="36"/>
    </i>
    <i>
      <x v="92"/>
    </i>
    <i>
      <x v="43"/>
    </i>
    <i>
      <x v="94"/>
    </i>
    <i>
      <x v="10"/>
    </i>
    <i>
      <x v="96"/>
    </i>
    <i>
      <x v="24"/>
    </i>
    <i>
      <x v="97"/>
    </i>
    <i>
      <x v="39"/>
    </i>
    <i>
      <x v="98"/>
    </i>
    <i>
      <x v="15"/>
    </i>
    <i>
      <x v="99"/>
    </i>
    <i>
      <x v="105"/>
    </i>
    <i>
      <x v="100"/>
    </i>
    <i>
      <x v="33"/>
    </i>
    <i>
      <x v="102"/>
    </i>
    <i>
      <x v="104"/>
    </i>
    <i>
      <x v="58"/>
    </i>
    <i>
      <x v="30"/>
    </i>
    <i>
      <x v="41"/>
    </i>
    <i>
      <x v="35"/>
    </i>
    <i>
      <x v="106"/>
    </i>
    <i>
      <x v="17"/>
    </i>
    <i>
      <x v="25"/>
    </i>
    <i>
      <x v="38"/>
    </i>
    <i>
      <x v="64"/>
    </i>
    <i>
      <x v="5"/>
    </i>
    <i>
      <x v="101"/>
    </i>
    <i>
      <x v="108"/>
    </i>
    <i>
      <x v="84"/>
    </i>
    <i>
      <x v="76"/>
    </i>
    <i>
      <x v="16"/>
    </i>
    <i>
      <x v="66"/>
    </i>
    <i>
      <x v="20"/>
    </i>
    <i>
      <x v="93"/>
    </i>
    <i>
      <x v="7"/>
    </i>
    <i>
      <x v="3"/>
    </i>
    <i>
      <x v="11"/>
    </i>
    <i>
      <x v="73"/>
    </i>
    <i>
      <x v="63"/>
    </i>
    <i>
      <x v="56"/>
    </i>
    <i>
      <x v="26"/>
    </i>
    <i>
      <x v="77"/>
    </i>
    <i>
      <x v="62"/>
    </i>
    <i>
      <x v="80"/>
    </i>
    <i>
      <x v="95"/>
    </i>
    <i>
      <x v="67"/>
    </i>
    <i>
      <x v="72"/>
    </i>
    <i>
      <x v="60"/>
    </i>
    <i>
      <x v="61"/>
    </i>
    <i>
      <x/>
    </i>
    <i>
      <x v="69"/>
    </i>
    <i>
      <x v="27"/>
    </i>
    <i>
      <x v="2"/>
    </i>
    <i>
      <x v="18"/>
    </i>
    <i>
      <x v="75"/>
    </i>
    <i>
      <x v="59"/>
    </i>
    <i>
      <x v="8"/>
    </i>
    <i>
      <x v="91"/>
    </i>
    <i>
      <x v="4"/>
    </i>
    <i>
      <x v="107"/>
    </i>
    <i>
      <x v="28"/>
    </i>
    <i>
      <x v="1"/>
    </i>
    <i>
      <x v="70"/>
    </i>
    <i>
      <x v="90"/>
    </i>
    <i>
      <x v="22"/>
    </i>
    <i>
      <x v="57"/>
    </i>
    <i>
      <x v="52"/>
    </i>
    <i>
      <x v="40"/>
    </i>
    <i>
      <x v="65"/>
    </i>
    <i>
      <x v="87"/>
    </i>
    <i>
      <x v="44"/>
    </i>
    <i>
      <x v="68"/>
    </i>
    <i t="grand">
      <x/>
    </i>
  </rowItems>
  <colItems count="1">
    <i/>
  </colItems>
  <dataFields count="1">
    <dataField name="&quot;Bottom 5&quot; by &quot;Sum of Rating&quot;" fld="7"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2" name="PivotTable1"/>
  </pivotTables>
  <data>
    <tabular pivotCacheId="1254438061">
      <items count="110">
        <i x="21" s="1"/>
        <i x="11" s="1"/>
        <i x="20" s="1"/>
        <i x="37" s="1"/>
        <i x="12" s="1"/>
        <i x="46" s="1"/>
        <i x="92" s="1"/>
        <i x="36" s="1"/>
        <i x="17" s="1"/>
        <i x="93" s="1"/>
        <i x="104" s="1"/>
        <i x="35" s="1"/>
        <i x="108" s="1"/>
        <i x="63" s="1"/>
        <i x="87" s="1"/>
        <i x="74" s="1"/>
        <i x="43" s="1"/>
        <i x="50" s="1"/>
        <i x="14" s="1"/>
        <i x="79" s="1"/>
        <i x="39" s="1"/>
        <i x="69" s="1"/>
        <i x="8" s="1"/>
        <i x="64" s="1"/>
        <i x="81" s="1"/>
        <i x="49" s="1"/>
        <i x="30" s="1"/>
        <i x="22" s="1"/>
        <i x="13" s="1"/>
        <i x="88" s="1"/>
        <i x="54" s="1"/>
        <i x="57" s="1"/>
        <i x="75" s="1"/>
        <i x="91" s="1"/>
        <i x="67" s="1"/>
        <i x="52" s="1"/>
        <i x="83" s="1"/>
        <i x="85" s="1"/>
        <i x="48" s="1"/>
        <i x="66" s="1"/>
        <i x="1" s="1"/>
        <i x="53" s="1"/>
        <i x="70" s="1"/>
        <i x="82" s="1"/>
        <i x="3" s="1"/>
        <i x="76" s="1"/>
        <i x="61" s="1"/>
        <i x="65" s="1"/>
        <i x="68" s="1"/>
        <i x="90" s="1"/>
        <i x="60" s="1"/>
        <i x="71" s="1"/>
        <i x="0" s="1"/>
        <i x="58" s="1"/>
        <i x="99" s="1"/>
        <i x="84" s="1"/>
        <i x="33" s="1"/>
        <i x="5" s="1"/>
        <i x="55" s="1"/>
        <i x="15" s="1"/>
        <i x="25" s="1"/>
        <i x="23" s="1"/>
        <i x="31" s="1"/>
        <i x="32" s="1"/>
        <i x="47" s="1"/>
        <i x="6" s="1"/>
        <i x="44" s="1"/>
        <i x="24" s="1"/>
        <i x="2" s="1"/>
        <i x="19" s="1"/>
        <i x="7" s="1"/>
        <i x="86" s="1"/>
        <i x="26" s="1"/>
        <i x="34" s="1"/>
        <i x="89" s="1"/>
        <i x="18" s="1"/>
        <i x="41" s="1"/>
        <i x="29" s="1"/>
        <i x="100" s="1"/>
        <i x="59" s="1"/>
        <i x="28" s="1"/>
        <i x="80" s="1"/>
        <i x="77" s="1"/>
        <i x="101" s="1"/>
        <i x="40" s="1"/>
        <i x="95" s="1"/>
        <i x="97" s="1"/>
        <i x="4" s="1"/>
        <i x="103" s="1"/>
        <i x="94" s="1"/>
        <i x="9" s="1"/>
        <i x="16" s="1"/>
        <i x="105" s="1"/>
        <i x="38" s="1"/>
        <i x="72" s="1"/>
        <i x="27" s="1"/>
        <i x="73" s="1"/>
        <i x="102" s="1"/>
        <i x="106" s="1"/>
        <i x="78" s="1"/>
        <i x="107" s="1"/>
        <i x="45" s="1"/>
        <i x="62" s="1"/>
        <i x="98" s="1"/>
        <i x="56" s="1"/>
        <i x="96" s="1"/>
        <i x="51" s="1"/>
        <i x="10" s="1"/>
        <i x="42" s="1"/>
        <i x="10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12" name="PivotTable1"/>
  </pivotTables>
  <data>
    <tabular pivotCacheId="1254438061">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12" name="PivotTable1"/>
  </pivotTables>
  <data>
    <tabular pivotCacheId="1254438061">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Rating Category" cache="Slicer_Rating_Category" caption="Rating Category" rowHeight="241300"/>
  <slicer name="Discount Category" cache="Slicer_Discount_Category" caption="Discount Category" rowHeight="24130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6"/>
  <sheetViews>
    <sheetView workbookViewId="0">
      <selection activeCell="E11" sqref="E11"/>
    </sheetView>
  </sheetViews>
  <sheetFormatPr defaultColWidth="8.7109375" defaultRowHeight="15"/>
  <cols>
    <col min="1" max="1" width="19.7109375"/>
    <col min="2" max="2" width="19.5703125" customWidth="1"/>
    <col min="3" max="3" width="27.5703125" customWidth="1"/>
    <col min="4" max="4" width="31.140625" customWidth="1"/>
    <col min="5" max="5" width="19" customWidth="1"/>
    <col min="6" max="6" width="27.42578125" customWidth="1"/>
    <col min="7" max="7" width="16.7109375" customWidth="1"/>
    <col min="8" max="8" width="27.28515625" customWidth="1"/>
    <col min="9" max="9" width="16" customWidth="1"/>
    <col min="10" max="10" width="20" customWidth="1"/>
    <col min="11" max="11" width="17.85546875" customWidth="1"/>
  </cols>
  <sheetData>
    <row r="3" spans="1:11">
      <c r="A3" s="4" t="s">
        <v>0</v>
      </c>
      <c r="B3" s="4" t="s">
        <v>1</v>
      </c>
      <c r="C3" t="s">
        <v>2</v>
      </c>
      <c r="D3" t="s">
        <v>3</v>
      </c>
      <c r="E3" t="s">
        <v>4</v>
      </c>
      <c r="F3" t="s">
        <v>5</v>
      </c>
      <c r="G3" t="s">
        <v>6</v>
      </c>
      <c r="H3" t="s">
        <v>7</v>
      </c>
      <c r="I3" t="s">
        <v>8</v>
      </c>
      <c r="J3" t="s">
        <v>9</v>
      </c>
      <c r="K3" t="s">
        <v>10</v>
      </c>
    </row>
    <row r="4" spans="1:11">
      <c r="A4" t="s">
        <v>11</v>
      </c>
      <c r="C4" s="14">
        <v>3750</v>
      </c>
      <c r="D4" s="14">
        <v>1369.409090909091</v>
      </c>
      <c r="E4" s="14">
        <v>0.38045454545454543</v>
      </c>
      <c r="F4" s="14">
        <v>2137.590909090909</v>
      </c>
      <c r="G4" s="14">
        <v>3.8090909090909091</v>
      </c>
      <c r="H4" s="14">
        <v>38</v>
      </c>
      <c r="I4" s="14">
        <v>22</v>
      </c>
      <c r="J4" s="14">
        <v>0.38045454545454543</v>
      </c>
      <c r="K4" s="14">
        <v>3.8090909090909091</v>
      </c>
    </row>
    <row r="5" spans="1:11">
      <c r="B5" t="s">
        <v>12</v>
      </c>
      <c r="C5" s="14">
        <v>2048</v>
      </c>
      <c r="D5" s="14">
        <v>826.63636363636363</v>
      </c>
      <c r="E5" s="14">
        <v>0.48363636363636364</v>
      </c>
      <c r="F5" s="14">
        <v>1615.1818181818182</v>
      </c>
      <c r="G5" s="14">
        <v>3.7636363636363637</v>
      </c>
      <c r="H5" s="14">
        <v>38</v>
      </c>
      <c r="I5" s="14">
        <v>11</v>
      </c>
      <c r="J5" s="14">
        <v>0.48363636363636364</v>
      </c>
      <c r="K5" s="14">
        <v>3.7636363636363637</v>
      </c>
    </row>
    <row r="6" spans="1:11">
      <c r="B6" t="s">
        <v>13</v>
      </c>
      <c r="C6" s="14">
        <v>2999</v>
      </c>
      <c r="D6" s="14">
        <v>2939.5</v>
      </c>
      <c r="E6" s="14">
        <v>0.13500000000000001</v>
      </c>
      <c r="F6" s="14">
        <v>3405</v>
      </c>
      <c r="G6" s="14">
        <v>3.9</v>
      </c>
      <c r="H6" s="14">
        <v>2880</v>
      </c>
      <c r="I6" s="14">
        <v>2</v>
      </c>
      <c r="J6" s="14">
        <v>0.13500000000000001</v>
      </c>
      <c r="K6" s="14">
        <v>3.9</v>
      </c>
    </row>
    <row r="7" spans="1:11">
      <c r="B7" t="s">
        <v>14</v>
      </c>
      <c r="C7" s="14">
        <v>3750</v>
      </c>
      <c r="D7" s="14">
        <v>1683.8888888888889</v>
      </c>
      <c r="E7" s="14">
        <v>0.30888888888888894</v>
      </c>
      <c r="F7" s="14">
        <v>2494.4444444444443</v>
      </c>
      <c r="G7" s="14">
        <v>3.8444444444444446</v>
      </c>
      <c r="H7" s="14">
        <v>799</v>
      </c>
      <c r="I7" s="14">
        <v>9</v>
      </c>
      <c r="J7" s="14">
        <v>0.30888888888888894</v>
      </c>
      <c r="K7" s="14">
        <v>3.8444444444444446</v>
      </c>
    </row>
    <row r="8" spans="1:11">
      <c r="A8" t="s">
        <v>15</v>
      </c>
      <c r="C8" s="14">
        <v>3640</v>
      </c>
      <c r="D8" s="14">
        <v>1391.4782608695652</v>
      </c>
      <c r="E8" s="14">
        <v>0.37652173913043485</v>
      </c>
      <c r="F8" s="14">
        <v>2106.695652173913</v>
      </c>
      <c r="G8" s="14">
        <v>4.9652173913043471</v>
      </c>
      <c r="H8" s="14">
        <v>171</v>
      </c>
      <c r="I8" s="14">
        <v>23</v>
      </c>
      <c r="J8" s="14">
        <v>0.37652173913043485</v>
      </c>
      <c r="K8" s="14">
        <v>4.9652173913043471</v>
      </c>
    </row>
    <row r="9" spans="1:11">
      <c r="B9" t="s">
        <v>12</v>
      </c>
      <c r="C9" s="14">
        <v>2025</v>
      </c>
      <c r="D9" s="14">
        <v>780.77777777777783</v>
      </c>
      <c r="E9" s="14">
        <v>0.49</v>
      </c>
      <c r="F9" s="14">
        <v>1550.6666666666667</v>
      </c>
      <c r="G9" s="14">
        <v>5.4111111111111105</v>
      </c>
      <c r="H9" s="14">
        <v>171</v>
      </c>
      <c r="I9" s="14">
        <v>9</v>
      </c>
      <c r="J9" s="14">
        <v>0.49</v>
      </c>
      <c r="K9" s="14">
        <v>5.4111111111111105</v>
      </c>
    </row>
    <row r="10" spans="1:11">
      <c r="B10" t="s">
        <v>13</v>
      </c>
      <c r="C10" s="14">
        <v>2999</v>
      </c>
      <c r="D10" s="14">
        <v>2999</v>
      </c>
      <c r="E10" s="14">
        <v>0.19</v>
      </c>
      <c r="F10" s="14">
        <v>3699</v>
      </c>
      <c r="G10" s="14">
        <v>4.5999999999999996</v>
      </c>
      <c r="H10" s="14">
        <v>2999</v>
      </c>
      <c r="I10" s="14">
        <v>1</v>
      </c>
      <c r="J10" s="14">
        <v>0.19</v>
      </c>
      <c r="K10" s="14">
        <v>4.5999999999999996</v>
      </c>
    </row>
    <row r="11" spans="1:11">
      <c r="B11" t="s">
        <v>14</v>
      </c>
      <c r="C11" s="14">
        <v>3640</v>
      </c>
      <c r="D11" s="14">
        <v>1690.6153846153845</v>
      </c>
      <c r="E11" s="14">
        <v>0.31230769230769234</v>
      </c>
      <c r="F11" s="14">
        <v>2369.1538461538462</v>
      </c>
      <c r="G11" s="14">
        <v>4.6846153846153848</v>
      </c>
      <c r="H11" s="14">
        <v>420</v>
      </c>
      <c r="I11" s="14">
        <v>13</v>
      </c>
      <c r="J11" s="14">
        <v>0.31230769230769234</v>
      </c>
      <c r="K11" s="14">
        <v>4.6846153846153848</v>
      </c>
    </row>
    <row r="12" spans="1:11">
      <c r="A12" t="s">
        <v>16</v>
      </c>
      <c r="C12" s="14">
        <v>3546</v>
      </c>
      <c r="D12" s="14">
        <v>1084.203125</v>
      </c>
      <c r="E12" s="14">
        <v>0.35359374999999998</v>
      </c>
      <c r="F12" s="14">
        <v>1630.21875</v>
      </c>
      <c r="G12" s="14">
        <v>0.44843749999999999</v>
      </c>
      <c r="H12" s="14">
        <v>105</v>
      </c>
      <c r="I12" s="14">
        <v>64</v>
      </c>
      <c r="J12" s="14">
        <v>0.35359374999999998</v>
      </c>
      <c r="K12" s="14">
        <v>0.44843749999999999</v>
      </c>
    </row>
    <row r="13" spans="1:11">
      <c r="B13" t="s">
        <v>12</v>
      </c>
      <c r="C13" s="14">
        <v>2200</v>
      </c>
      <c r="D13" s="14">
        <v>757.58974358974353</v>
      </c>
      <c r="E13" s="14">
        <v>0.47974358974359005</v>
      </c>
      <c r="F13" s="14">
        <v>1445.2307692307693</v>
      </c>
      <c r="G13" s="14">
        <v>0.59743589743589742</v>
      </c>
      <c r="H13" s="14">
        <v>105</v>
      </c>
      <c r="I13" s="14">
        <v>39</v>
      </c>
      <c r="J13" s="14">
        <v>0.47974358974359005</v>
      </c>
      <c r="K13" s="14">
        <v>0.59743589743589742</v>
      </c>
    </row>
    <row r="14" spans="1:11">
      <c r="B14" t="s">
        <v>13</v>
      </c>
      <c r="C14" s="14">
        <v>3546</v>
      </c>
      <c r="D14" s="14">
        <v>1759.1333333333334</v>
      </c>
      <c r="E14" s="14">
        <v>5.6000000000000015E-2</v>
      </c>
      <c r="F14" s="14">
        <v>1861.2</v>
      </c>
      <c r="G14" s="14">
        <v>0.16666666666666666</v>
      </c>
      <c r="H14" s="14">
        <v>799</v>
      </c>
      <c r="I14" s="14">
        <v>15</v>
      </c>
      <c r="J14" s="14">
        <v>5.6000000000000015E-2</v>
      </c>
      <c r="K14" s="14">
        <v>0.16666666666666666</v>
      </c>
    </row>
    <row r="15" spans="1:11">
      <c r="B15" t="s">
        <v>14</v>
      </c>
      <c r="C15" s="14">
        <v>2799</v>
      </c>
      <c r="D15" s="14">
        <v>1345.6</v>
      </c>
      <c r="E15" s="14">
        <v>0.30800000000000005</v>
      </c>
      <c r="F15" s="14">
        <v>2005.2</v>
      </c>
      <c r="G15" s="14">
        <v>0.28999999999999998</v>
      </c>
      <c r="H15" s="14">
        <v>198</v>
      </c>
      <c r="I15" s="14">
        <v>10</v>
      </c>
      <c r="J15" s="14">
        <v>0.30800000000000005</v>
      </c>
      <c r="K15" s="14">
        <v>0.28999999999999998</v>
      </c>
    </row>
    <row r="16" spans="1:11">
      <c r="A16" t="s">
        <v>17</v>
      </c>
      <c r="C16" s="14">
        <v>3750</v>
      </c>
      <c r="D16" s="14">
        <v>1206.605504587156</v>
      </c>
      <c r="E16" s="14">
        <v>0.36385321100917439</v>
      </c>
      <c r="F16" s="14">
        <v>1833.165137614679</v>
      </c>
      <c r="G16" s="14">
        <v>2.0798165137614673</v>
      </c>
      <c r="H16" s="14">
        <v>38</v>
      </c>
      <c r="I16" s="14">
        <v>109</v>
      </c>
      <c r="J16" s="14">
        <v>0.36385321100917439</v>
      </c>
      <c r="K16" s="14">
        <v>2.0798165137614673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9"/>
  <sheetViews>
    <sheetView tabSelected="1" topLeftCell="A10" workbookViewId="0">
      <selection activeCell="E13" sqref="E13"/>
    </sheetView>
  </sheetViews>
  <sheetFormatPr defaultRowHeight="15.75"/>
  <cols>
    <col min="1" max="1" width="18.140625" style="20" bestFit="1" customWidth="1"/>
    <col min="2" max="2" width="18.7109375" style="20" bestFit="1" customWidth="1"/>
    <col min="3" max="3" width="21" style="20" customWidth="1"/>
    <col min="4" max="4" width="17.28515625" style="20" customWidth="1"/>
    <col min="5" max="5" width="78.85546875" style="20" bestFit="1" customWidth="1"/>
    <col min="6" max="6" width="18.7109375" style="20" bestFit="1" customWidth="1"/>
    <col min="7" max="7" width="9.140625" style="20"/>
    <col min="8" max="8" width="18.140625" style="20" customWidth="1"/>
    <col min="9" max="9" width="18.7109375" style="21" customWidth="1"/>
    <col min="10" max="10" width="21" style="20" bestFit="1" customWidth="1"/>
    <col min="11" max="11" width="17.28515625" style="20" customWidth="1"/>
    <col min="12" max="12" width="18.140625" style="20" customWidth="1"/>
    <col min="13" max="14" width="5.7109375" style="20" customWidth="1"/>
    <col min="15" max="15" width="20.42578125" style="20" bestFit="1" customWidth="1"/>
    <col min="16" max="16384" width="9.140625" style="20"/>
  </cols>
  <sheetData>
    <row r="1" spans="1:14">
      <c r="A1" s="17" t="s">
        <v>8</v>
      </c>
      <c r="B1" s="17" t="s">
        <v>6</v>
      </c>
      <c r="C1" s="17" t="s">
        <v>4</v>
      </c>
      <c r="D1" s="17" t="s">
        <v>145</v>
      </c>
    </row>
    <row r="2" spans="1:14">
      <c r="A2" s="19">
        <v>109</v>
      </c>
      <c r="B2" s="25">
        <v>2.0798165137614677</v>
      </c>
      <c r="C2" s="24">
        <v>0.36385321100917439</v>
      </c>
      <c r="D2" s="19">
        <v>109</v>
      </c>
    </row>
    <row r="4" spans="1:14">
      <c r="C4" s="16" t="s">
        <v>143</v>
      </c>
      <c r="D4" s="17" t="s">
        <v>8</v>
      </c>
      <c r="I4" s="20"/>
    </row>
    <row r="5" spans="1:14">
      <c r="C5" s="18" t="s">
        <v>11</v>
      </c>
      <c r="D5" s="19">
        <v>22</v>
      </c>
      <c r="I5" s="20"/>
    </row>
    <row r="6" spans="1:14">
      <c r="C6" s="18" t="s">
        <v>15</v>
      </c>
      <c r="D6" s="19">
        <v>23</v>
      </c>
    </row>
    <row r="7" spans="1:14">
      <c r="C7" s="18" t="s">
        <v>16</v>
      </c>
      <c r="D7" s="19">
        <v>64</v>
      </c>
    </row>
    <row r="9" spans="1:14">
      <c r="C9" s="16" t="s">
        <v>143</v>
      </c>
      <c r="D9" s="17" t="s">
        <v>8</v>
      </c>
      <c r="I9" s="20"/>
      <c r="J9"/>
      <c r="K9"/>
      <c r="L9"/>
      <c r="M9"/>
    </row>
    <row r="10" spans="1:14">
      <c r="C10" s="18" t="s">
        <v>12</v>
      </c>
      <c r="D10" s="19">
        <v>59</v>
      </c>
      <c r="I10" s="20"/>
      <c r="J10"/>
      <c r="K10"/>
      <c r="L10"/>
      <c r="M10"/>
    </row>
    <row r="11" spans="1:14">
      <c r="C11" s="18" t="s">
        <v>13</v>
      </c>
      <c r="D11" s="19">
        <v>18</v>
      </c>
      <c r="I11" s="20"/>
      <c r="J11"/>
      <c r="K11"/>
      <c r="L11"/>
      <c r="M11"/>
    </row>
    <row r="12" spans="1:14">
      <c r="C12" s="18" t="s">
        <v>14</v>
      </c>
      <c r="D12" s="19">
        <v>32</v>
      </c>
      <c r="I12" s="20"/>
      <c r="J12"/>
      <c r="K12"/>
      <c r="L12"/>
      <c r="M12"/>
    </row>
    <row r="13" spans="1:14">
      <c r="I13" s="20"/>
      <c r="J13"/>
      <c r="K13"/>
      <c r="L13"/>
      <c r="M13"/>
      <c r="N13"/>
    </row>
    <row r="14" spans="1:14">
      <c r="C14" s="16" t="s">
        <v>143</v>
      </c>
      <c r="D14" s="17" t="s">
        <v>6</v>
      </c>
      <c r="I14" s="20"/>
      <c r="J14"/>
      <c r="K14"/>
      <c r="L14"/>
      <c r="M14"/>
      <c r="N14"/>
    </row>
    <row r="15" spans="1:14">
      <c r="C15" s="17" t="s">
        <v>94</v>
      </c>
      <c r="D15" s="19">
        <v>5</v>
      </c>
      <c r="I15" s="20"/>
      <c r="J15"/>
      <c r="K15"/>
      <c r="L15"/>
      <c r="M15"/>
      <c r="N15"/>
    </row>
    <row r="16" spans="1:14">
      <c r="C16" s="17" t="s">
        <v>44</v>
      </c>
      <c r="D16" s="19">
        <v>5</v>
      </c>
      <c r="I16" s="20"/>
      <c r="J16"/>
      <c r="K16"/>
      <c r="L16"/>
      <c r="M16"/>
      <c r="N16"/>
    </row>
    <row r="17" spans="3:14">
      <c r="C17" s="17" t="s">
        <v>113</v>
      </c>
      <c r="D17" s="19">
        <v>5</v>
      </c>
      <c r="I17" s="20"/>
      <c r="J17"/>
      <c r="K17"/>
      <c r="L17"/>
      <c r="M17"/>
      <c r="N17"/>
    </row>
    <row r="18" spans="3:14">
      <c r="C18" s="17" t="s">
        <v>36</v>
      </c>
      <c r="D18" s="19">
        <v>5</v>
      </c>
      <c r="I18" s="20"/>
      <c r="J18"/>
      <c r="K18"/>
      <c r="L18"/>
      <c r="M18"/>
      <c r="N18"/>
    </row>
    <row r="19" spans="3:14">
      <c r="C19" s="17" t="s">
        <v>43</v>
      </c>
      <c r="D19" s="19">
        <v>5</v>
      </c>
      <c r="I19" s="20"/>
      <c r="J19"/>
      <c r="K19"/>
      <c r="L19"/>
      <c r="M19"/>
      <c r="N19"/>
    </row>
    <row r="20" spans="3:14">
      <c r="C20" s="17" t="s">
        <v>26</v>
      </c>
      <c r="D20" s="19">
        <v>10</v>
      </c>
      <c r="I20" s="20"/>
      <c r="J20"/>
      <c r="K20"/>
      <c r="L20"/>
      <c r="M20"/>
      <c r="N20"/>
    </row>
    <row r="21" spans="3:14">
      <c r="C21" s="17" t="s">
        <v>114</v>
      </c>
      <c r="D21" s="19">
        <v>5</v>
      </c>
      <c r="I21" s="20"/>
      <c r="J21"/>
      <c r="K21"/>
      <c r="L21"/>
      <c r="M21"/>
      <c r="N21"/>
    </row>
    <row r="22" spans="3:14">
      <c r="C22"/>
      <c r="D22"/>
      <c r="I22" s="20"/>
      <c r="J22"/>
      <c r="K22"/>
      <c r="L22"/>
      <c r="M22"/>
      <c r="N22"/>
    </row>
    <row r="23" spans="3:14">
      <c r="C23" s="16" t="s">
        <v>143</v>
      </c>
      <c r="D23" s="17" t="s">
        <v>148</v>
      </c>
      <c r="I23" s="20"/>
      <c r="J23"/>
      <c r="K23"/>
      <c r="L23"/>
      <c r="M23"/>
      <c r="N23"/>
    </row>
    <row r="24" spans="3:14">
      <c r="C24" s="17" t="s">
        <v>78</v>
      </c>
      <c r="D24" s="19">
        <v>39</v>
      </c>
      <c r="I24" s="20"/>
      <c r="J24"/>
      <c r="K24"/>
      <c r="L24"/>
      <c r="M24"/>
      <c r="N24"/>
    </row>
    <row r="25" spans="3:14">
      <c r="C25" s="17" t="s">
        <v>88</v>
      </c>
      <c r="D25" s="19">
        <v>69</v>
      </c>
      <c r="I25" s="20"/>
      <c r="J25"/>
      <c r="K25"/>
      <c r="L25"/>
      <c r="M25"/>
      <c r="N25"/>
    </row>
    <row r="26" spans="3:14">
      <c r="C26" s="17" t="s">
        <v>59</v>
      </c>
      <c r="D26" s="19">
        <v>55</v>
      </c>
      <c r="I26" s="20"/>
      <c r="J26"/>
      <c r="K26"/>
      <c r="L26"/>
      <c r="M26"/>
      <c r="N26"/>
    </row>
    <row r="27" spans="3:14">
      <c r="C27" s="17" t="s">
        <v>42</v>
      </c>
      <c r="D27" s="19">
        <v>44</v>
      </c>
      <c r="I27" s="20"/>
      <c r="J27"/>
      <c r="K27"/>
      <c r="L27"/>
      <c r="M27"/>
      <c r="N27"/>
    </row>
    <row r="28" spans="3:14">
      <c r="C28" s="17" t="s">
        <v>109</v>
      </c>
      <c r="D28" s="19">
        <v>49</v>
      </c>
      <c r="I28" s="20"/>
      <c r="J28"/>
      <c r="K28"/>
      <c r="L28"/>
      <c r="M28"/>
      <c r="N28"/>
    </row>
    <row r="29" spans="3:14">
      <c r="D29" s="21"/>
      <c r="I29" s="20"/>
      <c r="J29"/>
      <c r="K29"/>
      <c r="L29"/>
      <c r="M29"/>
      <c r="N29"/>
    </row>
    <row r="30" spans="3:14">
      <c r="D30" s="21"/>
      <c r="I30" s="20"/>
      <c r="J30"/>
      <c r="K30"/>
      <c r="L30"/>
      <c r="M30"/>
      <c r="N30"/>
    </row>
    <row r="31" spans="3:14">
      <c r="C31" s="16" t="s">
        <v>143</v>
      </c>
      <c r="D31" s="17" t="s">
        <v>147</v>
      </c>
      <c r="I31" s="20"/>
      <c r="J31"/>
      <c r="K31"/>
      <c r="L31"/>
      <c r="M31"/>
      <c r="N31"/>
    </row>
    <row r="32" spans="3:14">
      <c r="C32" s="17" t="s">
        <v>75</v>
      </c>
      <c r="D32" s="24">
        <v>0.54</v>
      </c>
      <c r="I32" s="20"/>
      <c r="J32"/>
      <c r="K32"/>
      <c r="L32"/>
      <c r="M32"/>
      <c r="N32"/>
    </row>
    <row r="33" spans="3:14">
      <c r="C33" s="17" t="s">
        <v>30</v>
      </c>
      <c r="D33" s="24">
        <v>0.55000000000000004</v>
      </c>
      <c r="I33" s="20"/>
      <c r="J33"/>
      <c r="K33"/>
      <c r="L33"/>
      <c r="M33"/>
      <c r="N33"/>
    </row>
    <row r="34" spans="3:14">
      <c r="C34" s="17" t="s">
        <v>24</v>
      </c>
      <c r="D34" s="24">
        <v>0.54</v>
      </c>
      <c r="I34" s="20"/>
      <c r="J34"/>
      <c r="K34"/>
      <c r="L34"/>
      <c r="M34"/>
      <c r="N34"/>
    </row>
    <row r="35" spans="3:14">
      <c r="C35" s="17" t="s">
        <v>99</v>
      </c>
      <c r="D35" s="24">
        <v>0.61</v>
      </c>
      <c r="I35" s="20"/>
      <c r="J35"/>
      <c r="K35"/>
      <c r="L35"/>
      <c r="M35"/>
      <c r="N35"/>
    </row>
    <row r="36" spans="3:14">
      <c r="C36" s="17" t="s">
        <v>93</v>
      </c>
      <c r="D36" s="24">
        <v>0.64</v>
      </c>
      <c r="I36" s="20"/>
      <c r="J36"/>
      <c r="K36"/>
      <c r="L36"/>
      <c r="M36"/>
      <c r="N36"/>
    </row>
    <row r="37" spans="3:14">
      <c r="C37" s="17" t="s">
        <v>23</v>
      </c>
      <c r="D37" s="24">
        <v>0.55000000000000004</v>
      </c>
      <c r="F37" s="21"/>
      <c r="H37"/>
      <c r="I37"/>
      <c r="J37"/>
      <c r="K37"/>
      <c r="L37"/>
      <c r="M37"/>
      <c r="N37"/>
    </row>
    <row r="38" spans="3:14">
      <c r="F38" s="21"/>
      <c r="H38"/>
      <c r="I38"/>
      <c r="J38"/>
      <c r="K38"/>
      <c r="L38"/>
      <c r="M38"/>
      <c r="N38"/>
    </row>
    <row r="39" spans="3:14">
      <c r="F39" s="21"/>
      <c r="H39"/>
      <c r="I39"/>
      <c r="J39"/>
      <c r="K39"/>
      <c r="L39"/>
      <c r="M39"/>
      <c r="N39"/>
    </row>
    <row r="40" spans="3:14">
      <c r="E40"/>
      <c r="F40"/>
      <c r="H40"/>
      <c r="I40"/>
      <c r="J40"/>
      <c r="K40"/>
      <c r="L40"/>
      <c r="M40"/>
      <c r="N40"/>
    </row>
    <row r="41" spans="3:14">
      <c r="H41"/>
      <c r="I41"/>
      <c r="J41"/>
      <c r="K41"/>
      <c r="L41"/>
      <c r="M41"/>
      <c r="N41"/>
    </row>
    <row r="42" spans="3:14">
      <c r="H42"/>
      <c r="I42"/>
      <c r="J42"/>
      <c r="K42"/>
      <c r="L42"/>
      <c r="M42"/>
      <c r="N42"/>
    </row>
    <row r="43" spans="3:14">
      <c r="H43"/>
      <c r="I43"/>
      <c r="J43"/>
      <c r="K43"/>
      <c r="L43"/>
      <c r="M43"/>
      <c r="N43"/>
    </row>
    <row r="44" spans="3:14">
      <c r="H44"/>
      <c r="I44"/>
      <c r="J44"/>
      <c r="K44"/>
      <c r="L44"/>
      <c r="M44"/>
      <c r="N44"/>
    </row>
    <row r="45" spans="3:14">
      <c r="H45"/>
      <c r="I45"/>
      <c r="J45"/>
      <c r="K45"/>
      <c r="L45"/>
      <c r="M45"/>
      <c r="N45"/>
    </row>
    <row r="46" spans="3:14">
      <c r="H46"/>
      <c r="I46"/>
      <c r="J46"/>
      <c r="K46"/>
      <c r="L46"/>
      <c r="M46"/>
      <c r="N46"/>
    </row>
    <row r="47" spans="3:14">
      <c r="H47"/>
      <c r="I47"/>
      <c r="J47"/>
      <c r="K47"/>
      <c r="L47"/>
      <c r="M47"/>
      <c r="N47"/>
    </row>
    <row r="48" spans="3:14">
      <c r="H48"/>
      <c r="I48"/>
      <c r="J48"/>
      <c r="K48"/>
      <c r="L48"/>
      <c r="M48"/>
      <c r="N48"/>
    </row>
    <row r="49" spans="8:14">
      <c r="H49"/>
      <c r="I49"/>
      <c r="J49"/>
      <c r="K49"/>
      <c r="L49"/>
      <c r="M49"/>
      <c r="N49"/>
    </row>
    <row r="50" spans="8:14">
      <c r="H50"/>
      <c r="I50"/>
      <c r="J50"/>
      <c r="K50"/>
      <c r="L50"/>
      <c r="M50"/>
      <c r="N50"/>
    </row>
    <row r="51" spans="8:14">
      <c r="H51"/>
      <c r="I51"/>
      <c r="J51"/>
      <c r="K51"/>
      <c r="L51"/>
      <c r="M51"/>
      <c r="N51"/>
    </row>
    <row r="52" spans="8:14">
      <c r="H52"/>
      <c r="I52"/>
      <c r="J52"/>
      <c r="K52"/>
      <c r="L52"/>
      <c r="M52"/>
      <c r="N52"/>
    </row>
    <row r="53" spans="8:14">
      <c r="H53"/>
      <c r="I53"/>
      <c r="J53"/>
      <c r="K53"/>
      <c r="L53"/>
      <c r="M53"/>
      <c r="N53"/>
    </row>
    <row r="54" spans="8:14">
      <c r="H54"/>
      <c r="I54"/>
      <c r="J54"/>
      <c r="K54"/>
      <c r="L54"/>
      <c r="M54"/>
      <c r="N54"/>
    </row>
    <row r="55" spans="8:14">
      <c r="H55"/>
      <c r="I55"/>
      <c r="J55"/>
      <c r="K55"/>
      <c r="L55"/>
      <c r="M55"/>
      <c r="N55"/>
    </row>
    <row r="56" spans="8:14">
      <c r="H56"/>
      <c r="I56"/>
      <c r="J56"/>
      <c r="K56"/>
      <c r="L56"/>
      <c r="M56"/>
      <c r="N56"/>
    </row>
    <row r="57" spans="8:14">
      <c r="H57"/>
      <c r="I57"/>
      <c r="J57"/>
      <c r="K57"/>
      <c r="L57"/>
      <c r="M57"/>
      <c r="N57"/>
    </row>
    <row r="58" spans="8:14">
      <c r="H58"/>
      <c r="I58"/>
      <c r="J58"/>
      <c r="K58"/>
      <c r="L58"/>
      <c r="M58"/>
      <c r="N58"/>
    </row>
    <row r="59" spans="8:14">
      <c r="H59"/>
      <c r="I59"/>
      <c r="J59"/>
      <c r="K59"/>
      <c r="L59"/>
      <c r="M59"/>
      <c r="N59"/>
    </row>
    <row r="60" spans="8:14">
      <c r="H60"/>
      <c r="I60"/>
      <c r="J60"/>
      <c r="K60"/>
      <c r="L60"/>
      <c r="M60"/>
      <c r="N60"/>
    </row>
    <row r="61" spans="8:14">
      <c r="H61"/>
      <c r="I61"/>
      <c r="J61"/>
      <c r="K61"/>
      <c r="L61"/>
      <c r="M61"/>
      <c r="N61"/>
    </row>
    <row r="62" spans="8:14">
      <c r="H62"/>
      <c r="I62"/>
      <c r="J62"/>
      <c r="K62"/>
      <c r="L62"/>
      <c r="M62"/>
      <c r="N62"/>
    </row>
    <row r="63" spans="8:14">
      <c r="H63"/>
      <c r="I63"/>
      <c r="J63"/>
      <c r="K63"/>
      <c r="L63"/>
      <c r="M63"/>
      <c r="N63"/>
    </row>
    <row r="64" spans="8:14">
      <c r="H64"/>
      <c r="I64"/>
      <c r="J64"/>
      <c r="K64"/>
      <c r="L64"/>
      <c r="M64"/>
      <c r="N64"/>
    </row>
    <row r="65" spans="8:14">
      <c r="H65"/>
      <c r="I65"/>
      <c r="J65"/>
      <c r="K65"/>
      <c r="L65"/>
      <c r="M65"/>
      <c r="N65"/>
    </row>
    <row r="66" spans="8:14">
      <c r="H66"/>
      <c r="I66"/>
      <c r="J66"/>
      <c r="K66"/>
      <c r="L66"/>
      <c r="M66"/>
      <c r="N66"/>
    </row>
    <row r="67" spans="8:14">
      <c r="H67"/>
      <c r="I67"/>
      <c r="J67"/>
      <c r="K67"/>
      <c r="L67"/>
      <c r="M67"/>
      <c r="N67"/>
    </row>
    <row r="68" spans="8:14">
      <c r="H68"/>
      <c r="I68"/>
      <c r="J68"/>
      <c r="K68"/>
      <c r="L68"/>
      <c r="M68"/>
      <c r="N68"/>
    </row>
    <row r="69" spans="8:14">
      <c r="H69"/>
      <c r="I69"/>
      <c r="J69"/>
      <c r="K69"/>
      <c r="L69"/>
      <c r="M69"/>
      <c r="N69"/>
    </row>
    <row r="70" spans="8:14">
      <c r="H70"/>
      <c r="I70"/>
      <c r="J70"/>
      <c r="K70"/>
      <c r="L70"/>
      <c r="M70"/>
      <c r="N70"/>
    </row>
    <row r="71" spans="8:14">
      <c r="H71"/>
      <c r="I71"/>
      <c r="J71"/>
      <c r="K71"/>
      <c r="L71"/>
      <c r="M71"/>
      <c r="N71"/>
    </row>
    <row r="72" spans="8:14">
      <c r="H72"/>
      <c r="I72"/>
      <c r="J72"/>
      <c r="K72"/>
      <c r="L72"/>
      <c r="M72"/>
      <c r="N72"/>
    </row>
    <row r="73" spans="8:14">
      <c r="H73"/>
      <c r="I73"/>
      <c r="J73"/>
      <c r="K73"/>
      <c r="L73"/>
      <c r="M73"/>
      <c r="N73"/>
    </row>
    <row r="74" spans="8:14">
      <c r="H74"/>
      <c r="I74"/>
      <c r="J74"/>
      <c r="K74"/>
      <c r="L74"/>
      <c r="M74"/>
      <c r="N74"/>
    </row>
    <row r="75" spans="8:14">
      <c r="H75"/>
      <c r="I75"/>
      <c r="J75"/>
      <c r="K75"/>
      <c r="L75"/>
      <c r="M75"/>
      <c r="N75"/>
    </row>
    <row r="76" spans="8:14">
      <c r="H76"/>
      <c r="I76"/>
      <c r="J76"/>
      <c r="K76"/>
      <c r="L76"/>
      <c r="M76"/>
      <c r="N76"/>
    </row>
    <row r="77" spans="8:14">
      <c r="H77"/>
      <c r="I77"/>
      <c r="J77"/>
      <c r="K77"/>
      <c r="L77"/>
      <c r="M77"/>
      <c r="N77"/>
    </row>
    <row r="78" spans="8:14">
      <c r="H78"/>
      <c r="I78"/>
      <c r="J78"/>
      <c r="K78"/>
      <c r="L78"/>
      <c r="M78"/>
      <c r="N78"/>
    </row>
    <row r="79" spans="8:14">
      <c r="H79"/>
      <c r="I79"/>
      <c r="J79"/>
      <c r="K79"/>
      <c r="L79"/>
      <c r="M79"/>
      <c r="N79"/>
    </row>
    <row r="80" spans="8:14">
      <c r="H80"/>
      <c r="I80"/>
      <c r="J80"/>
      <c r="K80"/>
      <c r="L80"/>
      <c r="M80"/>
      <c r="N80"/>
    </row>
    <row r="81" spans="8:14">
      <c r="H81"/>
      <c r="I81"/>
      <c r="J81"/>
      <c r="K81"/>
      <c r="L81"/>
      <c r="M81"/>
      <c r="N81"/>
    </row>
    <row r="82" spans="8:14">
      <c r="H82"/>
      <c r="I82"/>
      <c r="J82"/>
      <c r="K82"/>
      <c r="L82"/>
      <c r="M82"/>
      <c r="N82"/>
    </row>
    <row r="83" spans="8:14">
      <c r="H83"/>
      <c r="I83"/>
      <c r="J83"/>
      <c r="K83"/>
      <c r="L83"/>
      <c r="M83"/>
      <c r="N83"/>
    </row>
    <row r="84" spans="8:14">
      <c r="H84"/>
      <c r="I84"/>
      <c r="J84"/>
      <c r="K84"/>
      <c r="L84"/>
      <c r="M84"/>
      <c r="N84"/>
    </row>
    <row r="85" spans="8:14">
      <c r="H85"/>
      <c r="I85"/>
      <c r="J85"/>
      <c r="K85"/>
      <c r="L85"/>
      <c r="M85"/>
      <c r="N85"/>
    </row>
    <row r="86" spans="8:14">
      <c r="H86"/>
      <c r="I86"/>
      <c r="J86"/>
      <c r="K86"/>
      <c r="L86"/>
      <c r="M86"/>
      <c r="N86"/>
    </row>
    <row r="87" spans="8:14">
      <c r="H87"/>
      <c r="I87"/>
      <c r="J87"/>
      <c r="K87"/>
      <c r="L87"/>
      <c r="M87"/>
      <c r="N87"/>
    </row>
    <row r="88" spans="8:14">
      <c r="H88"/>
      <c r="I88"/>
      <c r="J88"/>
      <c r="K88"/>
      <c r="L88"/>
      <c r="M88"/>
      <c r="N88"/>
    </row>
    <row r="89" spans="8:14">
      <c r="H89"/>
      <c r="I89"/>
      <c r="J89"/>
      <c r="K89"/>
      <c r="L89"/>
      <c r="M89"/>
      <c r="N89"/>
    </row>
    <row r="90" spans="8:14">
      <c r="H90"/>
      <c r="I90"/>
      <c r="J90"/>
      <c r="K90"/>
      <c r="L90"/>
      <c r="M90"/>
      <c r="N90"/>
    </row>
    <row r="91" spans="8:14">
      <c r="H91"/>
      <c r="I91"/>
      <c r="J91"/>
      <c r="K91"/>
      <c r="L91"/>
      <c r="M91"/>
      <c r="N91"/>
    </row>
    <row r="92" spans="8:14">
      <c r="H92"/>
      <c r="I92"/>
      <c r="J92"/>
      <c r="K92"/>
      <c r="L92"/>
      <c r="M92"/>
      <c r="N92"/>
    </row>
    <row r="93" spans="8:14">
      <c r="H93"/>
      <c r="I93"/>
      <c r="J93"/>
      <c r="K93"/>
      <c r="L93"/>
      <c r="M93"/>
      <c r="N93"/>
    </row>
    <row r="94" spans="8:14">
      <c r="H94"/>
      <c r="I94"/>
      <c r="J94"/>
      <c r="K94"/>
      <c r="L94"/>
      <c r="M94"/>
      <c r="N94"/>
    </row>
    <row r="95" spans="8:14">
      <c r="H95"/>
      <c r="I95"/>
      <c r="J95"/>
      <c r="K95"/>
      <c r="L95"/>
      <c r="M95"/>
      <c r="N95"/>
    </row>
    <row r="96" spans="8:14">
      <c r="H96"/>
      <c r="I96"/>
      <c r="J96"/>
      <c r="K96"/>
      <c r="L96"/>
      <c r="M96"/>
      <c r="N96"/>
    </row>
    <row r="97" spans="8:14">
      <c r="H97"/>
      <c r="I97"/>
      <c r="J97"/>
      <c r="K97"/>
      <c r="L97"/>
      <c r="M97"/>
      <c r="N97"/>
    </row>
    <row r="98" spans="8:14">
      <c r="H98"/>
      <c r="I98"/>
      <c r="J98"/>
      <c r="K98"/>
      <c r="L98"/>
      <c r="M98"/>
      <c r="N98"/>
    </row>
    <row r="99" spans="8:14">
      <c r="H99"/>
      <c r="I99"/>
      <c r="J99"/>
      <c r="K99"/>
      <c r="L99"/>
      <c r="M99"/>
      <c r="N99"/>
    </row>
    <row r="100" spans="8:14">
      <c r="H100"/>
      <c r="I100"/>
      <c r="J100"/>
      <c r="K100"/>
      <c r="L100"/>
      <c r="M100"/>
      <c r="N100"/>
    </row>
    <row r="101" spans="8:14">
      <c r="H101"/>
      <c r="I101"/>
      <c r="J101"/>
      <c r="K101"/>
      <c r="L101"/>
      <c r="M101"/>
      <c r="N101"/>
    </row>
    <row r="102" spans="8:14">
      <c r="H102"/>
      <c r="I102"/>
      <c r="J102"/>
      <c r="K102"/>
      <c r="L102"/>
      <c r="M102"/>
      <c r="N102"/>
    </row>
    <row r="103" spans="8:14">
      <c r="H103"/>
      <c r="I103"/>
      <c r="J103"/>
      <c r="K103"/>
      <c r="L103"/>
      <c r="M103"/>
      <c r="N103"/>
    </row>
    <row r="104" spans="8:14">
      <c r="H104"/>
      <c r="I104"/>
      <c r="J104"/>
      <c r="K104"/>
      <c r="L104"/>
      <c r="M104"/>
      <c r="N104"/>
    </row>
    <row r="105" spans="8:14">
      <c r="H105"/>
      <c r="I105"/>
      <c r="J105"/>
      <c r="K105"/>
      <c r="L105"/>
      <c r="M105"/>
      <c r="N105"/>
    </row>
    <row r="106" spans="8:14">
      <c r="H106"/>
      <c r="I106"/>
      <c r="J106"/>
      <c r="K106"/>
      <c r="L106"/>
      <c r="M106"/>
      <c r="N106"/>
    </row>
    <row r="107" spans="8:14">
      <c r="H107"/>
      <c r="I107"/>
      <c r="J107"/>
      <c r="K107"/>
      <c r="L107"/>
      <c r="M107"/>
      <c r="N107"/>
    </row>
    <row r="108" spans="8:14">
      <c r="H108"/>
      <c r="I108"/>
      <c r="J108"/>
      <c r="K108"/>
      <c r="L108"/>
      <c r="M108"/>
      <c r="N108"/>
    </row>
    <row r="109" spans="8:14">
      <c r="H109"/>
      <c r="I109"/>
      <c r="J109"/>
      <c r="K109"/>
      <c r="L109"/>
      <c r="M109"/>
      <c r="N109"/>
    </row>
    <row r="110" spans="8:14">
      <c r="H110"/>
      <c r="I110"/>
      <c r="J110"/>
      <c r="K110"/>
      <c r="L110"/>
      <c r="M110"/>
      <c r="N110"/>
    </row>
    <row r="111" spans="8:14">
      <c r="H111"/>
      <c r="I111"/>
      <c r="J111"/>
      <c r="K111"/>
      <c r="L111"/>
      <c r="M111"/>
      <c r="N111"/>
    </row>
    <row r="112" spans="8:14">
      <c r="H112"/>
      <c r="I112"/>
      <c r="J112"/>
      <c r="K112"/>
      <c r="L112"/>
      <c r="M112"/>
      <c r="N112"/>
    </row>
    <row r="113" spans="8:14">
      <c r="H113"/>
      <c r="I113"/>
      <c r="J113"/>
      <c r="K113"/>
      <c r="L113"/>
      <c r="M113"/>
      <c r="N113"/>
    </row>
    <row r="114" spans="8:14">
      <c r="H114"/>
      <c r="I114"/>
      <c r="J114"/>
      <c r="K114"/>
      <c r="L114"/>
      <c r="M114"/>
      <c r="N114"/>
    </row>
    <row r="115" spans="8:14">
      <c r="H115"/>
      <c r="I115"/>
      <c r="J115"/>
      <c r="K115"/>
      <c r="L115"/>
      <c r="M115"/>
      <c r="N115"/>
    </row>
    <row r="116" spans="8:14">
      <c r="H116"/>
      <c r="I116"/>
      <c r="J116"/>
      <c r="K116"/>
      <c r="L116"/>
      <c r="M116"/>
      <c r="N116"/>
    </row>
    <row r="117" spans="8:14">
      <c r="H117"/>
      <c r="I117"/>
      <c r="J117"/>
      <c r="K117"/>
      <c r="L117"/>
      <c r="M117"/>
      <c r="N117"/>
    </row>
    <row r="118" spans="8:14">
      <c r="H118"/>
      <c r="I118"/>
      <c r="J118"/>
      <c r="K118"/>
      <c r="L118"/>
      <c r="M118"/>
      <c r="N118"/>
    </row>
    <row r="119" spans="8:14">
      <c r="H119"/>
      <c r="I119"/>
      <c r="J119"/>
      <c r="K119"/>
      <c r="L119"/>
      <c r="M119"/>
      <c r="N119"/>
    </row>
    <row r="120" spans="8:14">
      <c r="H120"/>
      <c r="I120"/>
    </row>
    <row r="121" spans="8:14">
      <c r="H121"/>
      <c r="I121"/>
    </row>
    <row r="122" spans="8:14">
      <c r="H122"/>
      <c r="I122"/>
    </row>
    <row r="123" spans="8:14">
      <c r="H123"/>
      <c r="I123"/>
    </row>
    <row r="124" spans="8:14">
      <c r="H124"/>
      <c r="I124"/>
    </row>
    <row r="125" spans="8:14">
      <c r="H125"/>
      <c r="I125"/>
    </row>
    <row r="126" spans="8:14">
      <c r="H126"/>
      <c r="I126"/>
    </row>
    <row r="127" spans="8:14">
      <c r="H127"/>
      <c r="I127"/>
    </row>
    <row r="128" spans="8:14">
      <c r="H128"/>
      <c r="I128"/>
    </row>
    <row r="129" spans="8:9">
      <c r="H129"/>
      <c r="I129"/>
    </row>
    <row r="130" spans="8:9">
      <c r="H130"/>
      <c r="I130"/>
    </row>
    <row r="131" spans="8:9">
      <c r="H131"/>
      <c r="I131"/>
    </row>
    <row r="132" spans="8:9">
      <c r="H132"/>
      <c r="I132"/>
    </row>
    <row r="133" spans="8:9">
      <c r="H133"/>
      <c r="I133"/>
    </row>
    <row r="134" spans="8:9">
      <c r="H134"/>
      <c r="I134"/>
    </row>
    <row r="135" spans="8:9">
      <c r="H135"/>
      <c r="I135"/>
    </row>
    <row r="136" spans="8:9">
      <c r="H136"/>
      <c r="I136"/>
    </row>
    <row r="137" spans="8:9">
      <c r="H137"/>
      <c r="I137"/>
    </row>
    <row r="138" spans="8:9">
      <c r="H138"/>
      <c r="I138"/>
    </row>
    <row r="139" spans="8:9">
      <c r="H139"/>
      <c r="I139"/>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0"/>
  <sheetViews>
    <sheetView topLeftCell="B1" workbookViewId="0">
      <pane ySplit="1" topLeftCell="A2" activePane="bottomLeft" state="frozen"/>
      <selection pane="bottomLeft" activeCell="F1" sqref="F1:F1048576"/>
    </sheetView>
  </sheetViews>
  <sheetFormatPr defaultColWidth="9.7109375" defaultRowHeight="15"/>
  <cols>
    <col min="1" max="1" width="98" customWidth="1"/>
    <col min="2" max="2" width="20.140625" style="10" customWidth="1"/>
    <col min="3" max="3" width="13.28515625" style="10" customWidth="1"/>
    <col min="4" max="4" width="24" style="10" bestFit="1" customWidth="1"/>
    <col min="5" max="5" width="20.28515625" style="10" bestFit="1" customWidth="1"/>
    <col min="6" max="6" width="12.7109375" style="10"/>
    <col min="7" max="7" width="14.28515625" style="12" customWidth="1"/>
    <col min="8" max="8" width="9.7109375" style="10" bestFit="1"/>
    <col min="9" max="9" width="19.7109375" style="10" bestFit="1" customWidth="1"/>
    <col min="10" max="10" width="17.28515625" bestFit="1" customWidth="1"/>
    <col min="11" max="11" width="23.5703125" customWidth="1"/>
  </cols>
  <sheetData>
    <row r="1" spans="1:11" s="1" customFormat="1">
      <c r="A1" s="2" t="s">
        <v>21</v>
      </c>
      <c r="B1" s="5" t="s">
        <v>135</v>
      </c>
      <c r="C1" s="5" t="s">
        <v>136</v>
      </c>
      <c r="D1" s="5" t="s">
        <v>137</v>
      </c>
      <c r="E1" s="5" t="s">
        <v>138</v>
      </c>
      <c r="F1" s="6" t="s">
        <v>18</v>
      </c>
      <c r="G1" s="22" t="s">
        <v>139</v>
      </c>
      <c r="H1" s="5" t="s">
        <v>20</v>
      </c>
      <c r="I1" s="6" t="s">
        <v>140</v>
      </c>
      <c r="J1" s="2" t="s">
        <v>0</v>
      </c>
      <c r="K1" s="2" t="s">
        <v>1</v>
      </c>
    </row>
    <row r="2" spans="1:11">
      <c r="A2" s="3" t="s">
        <v>113</v>
      </c>
      <c r="B2" s="7">
        <v>171</v>
      </c>
      <c r="C2" s="7">
        <v>360</v>
      </c>
      <c r="D2" s="8">
        <f t="shared" ref="D2:D33" si="0">IF(ISNUMBER(FIND("-",B2)),VALUE(TRIM(LEFT(B2,FIND("-",B2)-1))),VALUE(B2))</f>
        <v>171</v>
      </c>
      <c r="E2" s="7">
        <f t="shared" ref="E2:E33" si="1">IF(ISNUMBER(FIND("-",C2)),VALUE(TRIM(LEFT(C2,FIND("-",C2)-1))),VALUE(C2))</f>
        <v>360</v>
      </c>
      <c r="F2" s="11">
        <v>0.53</v>
      </c>
      <c r="G2" s="23">
        <v>2</v>
      </c>
      <c r="H2" s="9">
        <v>5</v>
      </c>
      <c r="I2" s="7">
        <f t="shared" ref="I2:I33" si="2">E2-D2</f>
        <v>189</v>
      </c>
      <c r="J2" s="3" t="str">
        <f t="shared" ref="J2:J33" si="3">IF(H2&lt;3,"Poor",IF(H2&lt;=4.4,"Average","Excellent"))</f>
        <v>Excellent</v>
      </c>
      <c r="K2" s="3" t="str">
        <f t="shared" ref="K2:K33" si="4">IF(F2&lt;0.2,"Low Discount",IF(AND(F2&gt;=0.2,F2&lt;=0.4),"Medium Discount","High Discount"))</f>
        <v>High Discount</v>
      </c>
    </row>
    <row r="3" spans="1:11">
      <c r="A3" s="3" t="s">
        <v>94</v>
      </c>
      <c r="B3" s="7">
        <v>332</v>
      </c>
      <c r="C3" s="7">
        <v>684</v>
      </c>
      <c r="D3" s="8">
        <f t="shared" si="0"/>
        <v>332</v>
      </c>
      <c r="E3" s="7">
        <f t="shared" si="1"/>
        <v>684</v>
      </c>
      <c r="F3" s="11">
        <v>0.51</v>
      </c>
      <c r="G3" s="23">
        <v>2</v>
      </c>
      <c r="H3" s="9">
        <v>5</v>
      </c>
      <c r="I3" s="7">
        <f t="shared" si="2"/>
        <v>352</v>
      </c>
      <c r="J3" s="3" t="str">
        <f t="shared" si="3"/>
        <v>Excellent</v>
      </c>
      <c r="K3" s="3" t="str">
        <f t="shared" si="4"/>
        <v>High Discount</v>
      </c>
    </row>
    <row r="4" spans="1:11">
      <c r="A4" s="3" t="s">
        <v>26</v>
      </c>
      <c r="B4" s="7">
        <v>2025</v>
      </c>
      <c r="C4" s="7">
        <v>3971</v>
      </c>
      <c r="D4" s="8">
        <f t="shared" si="0"/>
        <v>2025</v>
      </c>
      <c r="E4" s="7">
        <f t="shared" si="1"/>
        <v>3971</v>
      </c>
      <c r="F4" s="11">
        <v>0.49</v>
      </c>
      <c r="G4" s="23">
        <v>3</v>
      </c>
      <c r="H4" s="9">
        <v>10</v>
      </c>
      <c r="I4" s="7">
        <f t="shared" si="2"/>
        <v>1946</v>
      </c>
      <c r="J4" s="3" t="str">
        <f t="shared" si="3"/>
        <v>Excellent</v>
      </c>
      <c r="K4" s="3" t="str">
        <f t="shared" si="4"/>
        <v>High Discount</v>
      </c>
    </row>
    <row r="5" spans="1:11">
      <c r="A5" s="3" t="s">
        <v>44</v>
      </c>
      <c r="B5" s="7">
        <v>979</v>
      </c>
      <c r="C5" s="7">
        <v>1920</v>
      </c>
      <c r="D5" s="8">
        <f t="shared" si="0"/>
        <v>979</v>
      </c>
      <c r="E5" s="7">
        <f t="shared" si="1"/>
        <v>1920</v>
      </c>
      <c r="F5" s="11">
        <v>0.49</v>
      </c>
      <c r="G5" s="23">
        <v>1</v>
      </c>
      <c r="H5" s="9">
        <v>5</v>
      </c>
      <c r="I5" s="7">
        <f t="shared" si="2"/>
        <v>941</v>
      </c>
      <c r="J5" s="3" t="str">
        <f t="shared" si="3"/>
        <v>Excellent</v>
      </c>
      <c r="K5" s="3" t="str">
        <f t="shared" si="4"/>
        <v>High Discount</v>
      </c>
    </row>
    <row r="6" spans="1:11">
      <c r="A6" s="3" t="s">
        <v>114</v>
      </c>
      <c r="B6" s="7">
        <v>195</v>
      </c>
      <c r="C6" s="7">
        <v>360</v>
      </c>
      <c r="D6" s="8">
        <f t="shared" si="0"/>
        <v>195</v>
      </c>
      <c r="E6" s="7">
        <f t="shared" si="1"/>
        <v>360</v>
      </c>
      <c r="F6" s="11">
        <v>0.46</v>
      </c>
      <c r="G6" s="23">
        <v>2</v>
      </c>
      <c r="H6" s="9">
        <v>5</v>
      </c>
      <c r="I6" s="7">
        <f t="shared" si="2"/>
        <v>165</v>
      </c>
      <c r="J6" s="3" t="str">
        <f t="shared" si="3"/>
        <v>Excellent</v>
      </c>
      <c r="K6" s="3" t="str">
        <f t="shared" si="4"/>
        <v>High Discount</v>
      </c>
    </row>
    <row r="7" spans="1:11">
      <c r="A7" s="3" t="s">
        <v>36</v>
      </c>
      <c r="B7" s="7">
        <v>1620</v>
      </c>
      <c r="C7" s="7">
        <v>2690</v>
      </c>
      <c r="D7" s="8">
        <f t="shared" si="0"/>
        <v>1620</v>
      </c>
      <c r="E7" s="7">
        <f t="shared" si="1"/>
        <v>2690</v>
      </c>
      <c r="F7" s="11">
        <v>0.4</v>
      </c>
      <c r="G7" s="23">
        <v>1</v>
      </c>
      <c r="H7" s="9">
        <v>5</v>
      </c>
      <c r="I7" s="7">
        <f t="shared" si="2"/>
        <v>1070</v>
      </c>
      <c r="J7" s="3" t="str">
        <f t="shared" si="3"/>
        <v>Excellent</v>
      </c>
      <c r="K7" s="3" t="str">
        <f t="shared" si="4"/>
        <v>Medium Discount</v>
      </c>
    </row>
    <row r="8" spans="1:11">
      <c r="A8" s="3" t="s">
        <v>43</v>
      </c>
      <c r="B8" s="7">
        <v>3640</v>
      </c>
      <c r="C8" s="7">
        <v>4588</v>
      </c>
      <c r="D8" s="8">
        <f t="shared" si="0"/>
        <v>3640</v>
      </c>
      <c r="E8" s="7">
        <f t="shared" si="1"/>
        <v>4588</v>
      </c>
      <c r="F8" s="11">
        <v>0.21</v>
      </c>
      <c r="G8" s="23">
        <v>1</v>
      </c>
      <c r="H8" s="9">
        <v>5</v>
      </c>
      <c r="I8" s="7">
        <f t="shared" si="2"/>
        <v>948</v>
      </c>
      <c r="J8" s="3" t="str">
        <f t="shared" si="3"/>
        <v>Excellent</v>
      </c>
      <c r="K8" s="3" t="str">
        <f t="shared" si="4"/>
        <v>Medium Discount</v>
      </c>
    </row>
    <row r="9" spans="1:11">
      <c r="A9" s="3" t="s">
        <v>30</v>
      </c>
      <c r="B9" s="7">
        <v>1274</v>
      </c>
      <c r="C9" s="7">
        <v>2800</v>
      </c>
      <c r="D9" s="8">
        <f t="shared" si="0"/>
        <v>1274</v>
      </c>
      <c r="E9" s="7">
        <f t="shared" si="1"/>
        <v>2800</v>
      </c>
      <c r="F9" s="11">
        <v>0.55000000000000004</v>
      </c>
      <c r="G9" s="23">
        <v>5</v>
      </c>
      <c r="H9" s="9">
        <v>4.8</v>
      </c>
      <c r="I9" s="7">
        <f t="shared" si="2"/>
        <v>1526</v>
      </c>
      <c r="J9" s="3" t="str">
        <f t="shared" si="3"/>
        <v>Excellent</v>
      </c>
      <c r="K9" s="3" t="str">
        <f t="shared" si="4"/>
        <v>High Discount</v>
      </c>
    </row>
    <row r="10" spans="1:11">
      <c r="A10" s="3" t="s">
        <v>81</v>
      </c>
      <c r="B10" s="7">
        <v>552</v>
      </c>
      <c r="C10" s="7">
        <v>1035</v>
      </c>
      <c r="D10" s="8">
        <f t="shared" si="0"/>
        <v>552</v>
      </c>
      <c r="E10" s="7">
        <f t="shared" si="1"/>
        <v>1035</v>
      </c>
      <c r="F10" s="11">
        <v>0.47</v>
      </c>
      <c r="G10" s="23">
        <v>12</v>
      </c>
      <c r="H10" s="9">
        <v>4.8</v>
      </c>
      <c r="I10" s="7">
        <f t="shared" si="2"/>
        <v>483</v>
      </c>
      <c r="J10" s="3" t="str">
        <f t="shared" si="3"/>
        <v>Excellent</v>
      </c>
      <c r="K10" s="3" t="str">
        <f t="shared" si="4"/>
        <v>High Discount</v>
      </c>
    </row>
    <row r="11" spans="1:11">
      <c r="A11" s="3" t="s">
        <v>68</v>
      </c>
      <c r="B11" s="7">
        <v>1740</v>
      </c>
      <c r="C11" s="7">
        <v>2356</v>
      </c>
      <c r="D11" s="8">
        <f t="shared" si="0"/>
        <v>1740</v>
      </c>
      <c r="E11" s="7">
        <f t="shared" si="1"/>
        <v>2356</v>
      </c>
      <c r="F11" s="11">
        <v>0.26</v>
      </c>
      <c r="G11" s="23">
        <v>5</v>
      </c>
      <c r="H11" s="9">
        <v>4.8</v>
      </c>
      <c r="I11" s="7">
        <f t="shared" si="2"/>
        <v>616</v>
      </c>
      <c r="J11" s="3" t="str">
        <f t="shared" si="3"/>
        <v>Excellent</v>
      </c>
      <c r="K11" s="3" t="str">
        <f t="shared" si="4"/>
        <v>Medium Discount</v>
      </c>
    </row>
    <row r="12" spans="1:11">
      <c r="A12" s="3" t="s">
        <v>46</v>
      </c>
      <c r="B12" s="7">
        <v>1580</v>
      </c>
      <c r="C12" s="7">
        <v>2499</v>
      </c>
      <c r="D12" s="8">
        <f t="shared" si="0"/>
        <v>1580</v>
      </c>
      <c r="E12" s="7">
        <f t="shared" si="1"/>
        <v>2499</v>
      </c>
      <c r="F12" s="11">
        <v>0.37</v>
      </c>
      <c r="G12" s="23">
        <v>7</v>
      </c>
      <c r="H12" s="9">
        <v>4.7</v>
      </c>
      <c r="I12" s="7">
        <f t="shared" si="2"/>
        <v>919</v>
      </c>
      <c r="J12" s="3" t="str">
        <f t="shared" si="3"/>
        <v>Excellent</v>
      </c>
      <c r="K12" s="3" t="str">
        <f t="shared" si="4"/>
        <v>Medium Discount</v>
      </c>
    </row>
    <row r="13" spans="1:11">
      <c r="A13" s="3" t="s">
        <v>78</v>
      </c>
      <c r="B13" s="7">
        <v>990</v>
      </c>
      <c r="C13" s="7">
        <v>1500</v>
      </c>
      <c r="D13" s="8">
        <f t="shared" si="0"/>
        <v>990</v>
      </c>
      <c r="E13" s="7">
        <f t="shared" si="1"/>
        <v>1500</v>
      </c>
      <c r="F13" s="11">
        <v>0.34</v>
      </c>
      <c r="G13" s="23">
        <v>39</v>
      </c>
      <c r="H13" s="9">
        <v>4.7</v>
      </c>
      <c r="I13" s="7">
        <f t="shared" si="2"/>
        <v>510</v>
      </c>
      <c r="J13" s="3" t="str">
        <f t="shared" si="3"/>
        <v>Excellent</v>
      </c>
      <c r="K13" s="3" t="str">
        <f t="shared" si="4"/>
        <v>Medium Discount</v>
      </c>
    </row>
    <row r="14" spans="1:11">
      <c r="A14" s="3" t="s">
        <v>77</v>
      </c>
      <c r="B14" s="7">
        <v>980</v>
      </c>
      <c r="C14" s="7">
        <v>1490</v>
      </c>
      <c r="D14" s="8">
        <f t="shared" si="0"/>
        <v>980</v>
      </c>
      <c r="E14" s="7">
        <f t="shared" si="1"/>
        <v>1490</v>
      </c>
      <c r="F14" s="11">
        <v>0.34</v>
      </c>
      <c r="G14" s="23">
        <v>12</v>
      </c>
      <c r="H14" s="9">
        <v>4.7</v>
      </c>
      <c r="I14" s="7">
        <f t="shared" si="2"/>
        <v>510</v>
      </c>
      <c r="J14" s="3" t="str">
        <f t="shared" si="3"/>
        <v>Excellent</v>
      </c>
      <c r="K14" s="3" t="str">
        <f t="shared" si="4"/>
        <v>Medium Discount</v>
      </c>
    </row>
    <row r="15" spans="1:11">
      <c r="A15" s="3" t="s">
        <v>60</v>
      </c>
      <c r="B15" s="7">
        <v>1940</v>
      </c>
      <c r="C15" s="7">
        <v>2650</v>
      </c>
      <c r="D15" s="8">
        <f t="shared" si="0"/>
        <v>1940</v>
      </c>
      <c r="E15" s="7">
        <f t="shared" si="1"/>
        <v>2650</v>
      </c>
      <c r="F15" s="11">
        <v>0.27</v>
      </c>
      <c r="G15" s="23">
        <v>20</v>
      </c>
      <c r="H15" s="9">
        <v>4.7</v>
      </c>
      <c r="I15" s="7">
        <f t="shared" si="2"/>
        <v>710</v>
      </c>
      <c r="J15" s="3" t="str">
        <f t="shared" si="3"/>
        <v>Excellent</v>
      </c>
      <c r="K15" s="3" t="str">
        <f t="shared" si="4"/>
        <v>Medium Discount</v>
      </c>
    </row>
    <row r="16" spans="1:11">
      <c r="A16" s="3" t="s">
        <v>42</v>
      </c>
      <c r="B16" s="7">
        <v>998</v>
      </c>
      <c r="C16" s="7">
        <v>1966</v>
      </c>
      <c r="D16" s="8">
        <f t="shared" si="0"/>
        <v>998</v>
      </c>
      <c r="E16" s="7">
        <f t="shared" si="1"/>
        <v>1966</v>
      </c>
      <c r="F16" s="11">
        <v>0.49</v>
      </c>
      <c r="G16" s="23">
        <v>44</v>
      </c>
      <c r="H16" s="9">
        <v>4.5999999999999996</v>
      </c>
      <c r="I16" s="7">
        <f t="shared" si="2"/>
        <v>968</v>
      </c>
      <c r="J16" s="3" t="str">
        <f t="shared" si="3"/>
        <v>Excellent</v>
      </c>
      <c r="K16" s="3" t="str">
        <f t="shared" si="4"/>
        <v>High Discount</v>
      </c>
    </row>
    <row r="17" spans="1:11">
      <c r="A17" s="3" t="s">
        <v>109</v>
      </c>
      <c r="B17" s="7">
        <v>420</v>
      </c>
      <c r="C17" s="7">
        <v>647</v>
      </c>
      <c r="D17" s="8">
        <f t="shared" si="0"/>
        <v>420</v>
      </c>
      <c r="E17" s="7">
        <f t="shared" si="1"/>
        <v>647</v>
      </c>
      <c r="F17" s="11">
        <v>0.35</v>
      </c>
      <c r="G17" s="23">
        <v>49</v>
      </c>
      <c r="H17" s="9">
        <v>4.5999999999999996</v>
      </c>
      <c r="I17" s="7">
        <f t="shared" si="2"/>
        <v>227</v>
      </c>
      <c r="J17" s="3" t="str">
        <f t="shared" si="3"/>
        <v>Excellent</v>
      </c>
      <c r="K17" s="3" t="str">
        <f t="shared" si="4"/>
        <v>Medium Discount</v>
      </c>
    </row>
    <row r="18" spans="1:11">
      <c r="A18" s="3" t="s">
        <v>57</v>
      </c>
      <c r="B18" s="7">
        <v>2199</v>
      </c>
      <c r="C18" s="7">
        <v>2923</v>
      </c>
      <c r="D18" s="8">
        <f t="shared" si="0"/>
        <v>2199</v>
      </c>
      <c r="E18" s="7">
        <f t="shared" si="1"/>
        <v>2923</v>
      </c>
      <c r="F18" s="11">
        <v>0.25</v>
      </c>
      <c r="G18" s="23">
        <v>24</v>
      </c>
      <c r="H18" s="9">
        <v>4.5999999999999996</v>
      </c>
      <c r="I18" s="7">
        <f t="shared" si="2"/>
        <v>724</v>
      </c>
      <c r="J18" s="3" t="str">
        <f t="shared" si="3"/>
        <v>Excellent</v>
      </c>
      <c r="K18" s="3" t="str">
        <f t="shared" si="4"/>
        <v>Medium Discount</v>
      </c>
    </row>
    <row r="19" spans="1:11">
      <c r="A19" s="3" t="s">
        <v>59</v>
      </c>
      <c r="B19" s="7">
        <v>2319</v>
      </c>
      <c r="C19" s="7">
        <v>3032</v>
      </c>
      <c r="D19" s="8">
        <f t="shared" si="0"/>
        <v>2319</v>
      </c>
      <c r="E19" s="7">
        <f t="shared" si="1"/>
        <v>3032</v>
      </c>
      <c r="F19" s="11">
        <v>0.24</v>
      </c>
      <c r="G19" s="23">
        <v>55</v>
      </c>
      <c r="H19" s="9">
        <v>4.5999999999999996</v>
      </c>
      <c r="I19" s="7">
        <f t="shared" si="2"/>
        <v>713</v>
      </c>
      <c r="J19" s="3" t="str">
        <f t="shared" si="3"/>
        <v>Excellent</v>
      </c>
      <c r="K19" s="3" t="str">
        <f t="shared" si="4"/>
        <v>Medium Discount</v>
      </c>
    </row>
    <row r="20" spans="1:11">
      <c r="A20" s="3" t="s">
        <v>61</v>
      </c>
      <c r="B20" s="7">
        <v>2999</v>
      </c>
      <c r="C20" s="7">
        <v>3699</v>
      </c>
      <c r="D20" s="8">
        <f t="shared" si="0"/>
        <v>2999</v>
      </c>
      <c r="E20" s="7">
        <f t="shared" si="1"/>
        <v>3699</v>
      </c>
      <c r="F20" s="11">
        <v>0.19</v>
      </c>
      <c r="G20" s="23">
        <v>5</v>
      </c>
      <c r="H20" s="9">
        <v>4.5999999999999996</v>
      </c>
      <c r="I20" s="7">
        <f t="shared" si="2"/>
        <v>700</v>
      </c>
      <c r="J20" s="3" t="str">
        <f t="shared" si="3"/>
        <v>Excellent</v>
      </c>
      <c r="K20" s="3" t="str">
        <f t="shared" si="4"/>
        <v>Low Discount</v>
      </c>
    </row>
    <row r="21" spans="1:11">
      <c r="A21" s="3" t="s">
        <v>91</v>
      </c>
      <c r="B21" s="7">
        <v>501</v>
      </c>
      <c r="C21" s="7">
        <v>860</v>
      </c>
      <c r="D21" s="8">
        <f t="shared" si="0"/>
        <v>501</v>
      </c>
      <c r="E21" s="7">
        <f t="shared" si="1"/>
        <v>860</v>
      </c>
      <c r="F21" s="11">
        <v>0.42</v>
      </c>
      <c r="G21" s="23">
        <v>6</v>
      </c>
      <c r="H21" s="9">
        <v>4.5</v>
      </c>
      <c r="I21" s="7">
        <f t="shared" si="2"/>
        <v>359</v>
      </c>
      <c r="J21" s="3" t="str">
        <f t="shared" si="3"/>
        <v>Excellent</v>
      </c>
      <c r="K21" s="3" t="str">
        <f t="shared" si="4"/>
        <v>High Discount</v>
      </c>
    </row>
    <row r="22" spans="1:11">
      <c r="A22" s="3" t="s">
        <v>73</v>
      </c>
      <c r="B22" s="7">
        <v>950</v>
      </c>
      <c r="C22" s="7">
        <v>1525</v>
      </c>
      <c r="D22" s="8">
        <f t="shared" si="0"/>
        <v>950</v>
      </c>
      <c r="E22" s="7">
        <f t="shared" si="1"/>
        <v>1525</v>
      </c>
      <c r="F22" s="11">
        <v>0.38</v>
      </c>
      <c r="G22" s="23">
        <v>2</v>
      </c>
      <c r="H22" s="9">
        <v>4.5</v>
      </c>
      <c r="I22" s="7">
        <f t="shared" si="2"/>
        <v>575</v>
      </c>
      <c r="J22" s="3" t="str">
        <f t="shared" si="3"/>
        <v>Excellent</v>
      </c>
      <c r="K22" s="3" t="str">
        <f t="shared" si="4"/>
        <v>Medium Discount</v>
      </c>
    </row>
    <row r="23" spans="1:11">
      <c r="A23" s="3" t="s">
        <v>72</v>
      </c>
      <c r="B23" s="7" t="s">
        <v>141</v>
      </c>
      <c r="C23" s="7" t="s">
        <v>142</v>
      </c>
      <c r="D23" s="8">
        <f t="shared" si="0"/>
        <v>1620</v>
      </c>
      <c r="E23" s="7">
        <f t="shared" si="1"/>
        <v>2200</v>
      </c>
      <c r="F23" s="11">
        <v>0.38</v>
      </c>
      <c r="G23" s="23">
        <v>2</v>
      </c>
      <c r="H23" s="9">
        <v>4.5</v>
      </c>
      <c r="I23" s="7">
        <f t="shared" si="2"/>
        <v>580</v>
      </c>
      <c r="J23" s="3" t="str">
        <f t="shared" si="3"/>
        <v>Excellent</v>
      </c>
      <c r="K23" s="3" t="str">
        <f t="shared" si="4"/>
        <v>Medium Discount</v>
      </c>
    </row>
    <row r="24" spans="1:11">
      <c r="A24" s="3" t="s">
        <v>58</v>
      </c>
      <c r="B24" s="7">
        <v>1980</v>
      </c>
      <c r="C24" s="7">
        <v>2699</v>
      </c>
      <c r="D24" s="8">
        <f t="shared" si="0"/>
        <v>1980</v>
      </c>
      <c r="E24" s="7">
        <f t="shared" si="1"/>
        <v>2699</v>
      </c>
      <c r="F24" s="11">
        <v>0.27</v>
      </c>
      <c r="G24" s="23">
        <v>32</v>
      </c>
      <c r="H24" s="9">
        <v>4.5</v>
      </c>
      <c r="I24" s="7">
        <f t="shared" si="2"/>
        <v>719</v>
      </c>
      <c r="J24" s="3" t="str">
        <f t="shared" si="3"/>
        <v>Excellent</v>
      </c>
      <c r="K24" s="3" t="str">
        <f t="shared" si="4"/>
        <v>Medium Discount</v>
      </c>
    </row>
    <row r="25" spans="1:11">
      <c r="A25" s="3" t="s">
        <v>80</v>
      </c>
      <c r="B25" s="7">
        <v>1650</v>
      </c>
      <c r="C25" s="7">
        <v>2150</v>
      </c>
      <c r="D25" s="8">
        <f t="shared" si="0"/>
        <v>1650</v>
      </c>
      <c r="E25" s="7">
        <f t="shared" si="1"/>
        <v>2150</v>
      </c>
      <c r="F25" s="11">
        <v>0.23</v>
      </c>
      <c r="G25" s="23">
        <v>14</v>
      </c>
      <c r="H25" s="7">
        <v>4.4000000000000004</v>
      </c>
      <c r="I25" s="7">
        <f t="shared" si="2"/>
        <v>500</v>
      </c>
      <c r="J25" s="3" t="str">
        <f t="shared" si="3"/>
        <v>Average</v>
      </c>
      <c r="K25" s="3" t="str">
        <f t="shared" si="4"/>
        <v>Medium Discount</v>
      </c>
    </row>
    <row r="26" spans="1:11">
      <c r="A26" s="3" t="s">
        <v>24</v>
      </c>
      <c r="B26" s="7">
        <v>2048</v>
      </c>
      <c r="C26" s="7">
        <v>4500</v>
      </c>
      <c r="D26" s="8">
        <f t="shared" si="0"/>
        <v>2048</v>
      </c>
      <c r="E26" s="7">
        <f t="shared" si="1"/>
        <v>4500</v>
      </c>
      <c r="F26" s="11">
        <v>0.54</v>
      </c>
      <c r="G26" s="23">
        <v>7</v>
      </c>
      <c r="H26" s="7">
        <v>4.3</v>
      </c>
      <c r="I26" s="7">
        <f t="shared" si="2"/>
        <v>2452</v>
      </c>
      <c r="J26" s="3" t="str">
        <f t="shared" si="3"/>
        <v>Average</v>
      </c>
      <c r="K26" s="3" t="str">
        <f t="shared" si="4"/>
        <v>High Discount</v>
      </c>
    </row>
    <row r="27" spans="1:11">
      <c r="A27" s="3" t="s">
        <v>112</v>
      </c>
      <c r="B27" s="7">
        <v>185</v>
      </c>
      <c r="C27" s="7">
        <v>382</v>
      </c>
      <c r="D27" s="8">
        <f t="shared" si="0"/>
        <v>185</v>
      </c>
      <c r="E27" s="7">
        <f t="shared" si="1"/>
        <v>382</v>
      </c>
      <c r="F27" s="11">
        <v>0.52</v>
      </c>
      <c r="G27" s="23">
        <v>9</v>
      </c>
      <c r="H27" s="7">
        <v>4.3</v>
      </c>
      <c r="I27" s="7">
        <f t="shared" si="2"/>
        <v>197</v>
      </c>
      <c r="J27" s="3" t="str">
        <f t="shared" si="3"/>
        <v>Average</v>
      </c>
      <c r="K27" s="3" t="str">
        <f t="shared" si="4"/>
        <v>High Discount</v>
      </c>
    </row>
    <row r="28" spans="1:11">
      <c r="A28" s="3" t="s">
        <v>29</v>
      </c>
      <c r="B28" s="7">
        <v>1820</v>
      </c>
      <c r="C28" s="7">
        <v>3490</v>
      </c>
      <c r="D28" s="8">
        <f t="shared" si="0"/>
        <v>1820</v>
      </c>
      <c r="E28" s="7">
        <f t="shared" si="1"/>
        <v>3490</v>
      </c>
      <c r="F28" s="11">
        <v>0.48</v>
      </c>
      <c r="G28" s="23">
        <v>9</v>
      </c>
      <c r="H28" s="7">
        <v>4.3</v>
      </c>
      <c r="I28" s="7">
        <f t="shared" si="2"/>
        <v>1670</v>
      </c>
      <c r="J28" s="3" t="str">
        <f t="shared" si="3"/>
        <v>Average</v>
      </c>
      <c r="K28" s="3" t="str">
        <f t="shared" si="4"/>
        <v>High Discount</v>
      </c>
    </row>
    <row r="29" spans="1:11">
      <c r="A29" s="3" t="s">
        <v>102</v>
      </c>
      <c r="B29" s="7">
        <v>389</v>
      </c>
      <c r="C29" s="7">
        <v>656</v>
      </c>
      <c r="D29" s="8">
        <f t="shared" si="0"/>
        <v>389</v>
      </c>
      <c r="E29" s="7">
        <f t="shared" si="1"/>
        <v>656</v>
      </c>
      <c r="F29" s="11">
        <v>0.41</v>
      </c>
      <c r="G29" s="23">
        <v>36</v>
      </c>
      <c r="H29" s="7">
        <v>4.3</v>
      </c>
      <c r="I29" s="7">
        <f t="shared" si="2"/>
        <v>267</v>
      </c>
      <c r="J29" s="3" t="str">
        <f t="shared" si="3"/>
        <v>Average</v>
      </c>
      <c r="K29" s="3" t="str">
        <f t="shared" si="4"/>
        <v>High Discount</v>
      </c>
    </row>
    <row r="30" spans="1:11">
      <c r="A30" s="3" t="s">
        <v>51</v>
      </c>
      <c r="B30" s="7">
        <v>1680</v>
      </c>
      <c r="C30" s="7">
        <v>2499</v>
      </c>
      <c r="D30" s="8">
        <f t="shared" si="0"/>
        <v>1680</v>
      </c>
      <c r="E30" s="7">
        <f t="shared" si="1"/>
        <v>2499</v>
      </c>
      <c r="F30" s="11">
        <v>0.33</v>
      </c>
      <c r="G30" s="23">
        <v>9</v>
      </c>
      <c r="H30" s="7">
        <v>4.2</v>
      </c>
      <c r="I30" s="7">
        <f t="shared" si="2"/>
        <v>819</v>
      </c>
      <c r="J30" s="3" t="str">
        <f t="shared" si="3"/>
        <v>Average</v>
      </c>
      <c r="K30" s="3" t="str">
        <f t="shared" si="4"/>
        <v>Medium Discount</v>
      </c>
    </row>
    <row r="31" spans="1:11">
      <c r="A31" s="3" t="s">
        <v>82</v>
      </c>
      <c r="B31" s="7">
        <v>527</v>
      </c>
      <c r="C31" s="7">
        <v>999</v>
      </c>
      <c r="D31" s="8">
        <f t="shared" si="0"/>
        <v>527</v>
      </c>
      <c r="E31" s="7">
        <f t="shared" si="1"/>
        <v>999</v>
      </c>
      <c r="F31" s="11">
        <v>0.47</v>
      </c>
      <c r="G31" s="23">
        <v>14</v>
      </c>
      <c r="H31" s="7">
        <v>4.0999999999999996</v>
      </c>
      <c r="I31" s="7">
        <f t="shared" si="2"/>
        <v>472</v>
      </c>
      <c r="J31" s="3" t="str">
        <f t="shared" si="3"/>
        <v>Average</v>
      </c>
      <c r="K31" s="3" t="str">
        <f t="shared" si="4"/>
        <v>High Discount</v>
      </c>
    </row>
    <row r="32" spans="1:11">
      <c r="A32" s="3" t="s">
        <v>56</v>
      </c>
      <c r="B32" s="7">
        <v>1758</v>
      </c>
      <c r="C32" s="7">
        <v>2499</v>
      </c>
      <c r="D32" s="8">
        <f t="shared" si="0"/>
        <v>1758</v>
      </c>
      <c r="E32" s="7">
        <f t="shared" si="1"/>
        <v>2499</v>
      </c>
      <c r="F32" s="11">
        <v>0.3</v>
      </c>
      <c r="G32" s="23">
        <v>20</v>
      </c>
      <c r="H32" s="7">
        <v>4.0999999999999996</v>
      </c>
      <c r="I32" s="7">
        <f t="shared" si="2"/>
        <v>741</v>
      </c>
      <c r="J32" s="3" t="str">
        <f t="shared" si="3"/>
        <v>Average</v>
      </c>
      <c r="K32" s="3" t="str">
        <f t="shared" si="4"/>
        <v>Medium Discount</v>
      </c>
    </row>
    <row r="33" spans="1:11">
      <c r="A33" s="3" t="s">
        <v>111</v>
      </c>
      <c r="B33" s="7">
        <v>799</v>
      </c>
      <c r="C33" s="7">
        <v>999</v>
      </c>
      <c r="D33" s="8">
        <f t="shared" si="0"/>
        <v>799</v>
      </c>
      <c r="E33" s="7">
        <f t="shared" si="1"/>
        <v>999</v>
      </c>
      <c r="F33" s="11">
        <v>0.2</v>
      </c>
      <c r="G33" s="23">
        <v>12</v>
      </c>
      <c r="H33" s="7">
        <v>4.0999999999999996</v>
      </c>
      <c r="I33" s="7">
        <f t="shared" si="2"/>
        <v>200</v>
      </c>
      <c r="J33" s="3" t="str">
        <f t="shared" si="3"/>
        <v>Average</v>
      </c>
      <c r="K33" s="3" t="str">
        <f t="shared" si="4"/>
        <v>Medium Discount</v>
      </c>
    </row>
    <row r="34" spans="1:11">
      <c r="A34" s="3" t="s">
        <v>98</v>
      </c>
      <c r="B34" s="7">
        <v>330</v>
      </c>
      <c r="C34" s="7">
        <v>647</v>
      </c>
      <c r="D34" s="8">
        <f t="shared" ref="D34:D65" si="5">IF(ISNUMBER(FIND("-",B34)),VALUE(TRIM(LEFT(B34,FIND("-",B34)-1))),VALUE(B34))</f>
        <v>330</v>
      </c>
      <c r="E34" s="7">
        <f t="shared" ref="E34:E65" si="6">IF(ISNUMBER(FIND("-",C34)),VALUE(TRIM(LEFT(C34,FIND("-",C34)-1))),VALUE(C34))</f>
        <v>647</v>
      </c>
      <c r="F34" s="11">
        <v>0.49</v>
      </c>
      <c r="G34" s="23">
        <v>1</v>
      </c>
      <c r="H34" s="7">
        <v>4</v>
      </c>
      <c r="I34" s="7">
        <f t="shared" ref="I34:I65" si="7">E34-D34</f>
        <v>317</v>
      </c>
      <c r="J34" s="3" t="str">
        <f t="shared" ref="J34:J65" si="8">IF(H34&lt;3,"Poor",IF(H34&lt;=4.4,"Average","Excellent"))</f>
        <v>Average</v>
      </c>
      <c r="K34" s="3" t="str">
        <f t="shared" ref="K34:K65" si="9">IF(F34&lt;0.2,"Low Discount",IF(AND(F34&gt;=0.2,F34&lt;=0.4),"Medium Discount","High Discount"))</f>
        <v>High Discount</v>
      </c>
    </row>
    <row r="35" spans="1:11">
      <c r="A35" s="3" t="s">
        <v>70</v>
      </c>
      <c r="B35" s="7">
        <v>988</v>
      </c>
      <c r="C35" s="7">
        <v>1580</v>
      </c>
      <c r="D35" s="8">
        <f t="shared" si="5"/>
        <v>988</v>
      </c>
      <c r="E35" s="7">
        <f t="shared" si="6"/>
        <v>1580</v>
      </c>
      <c r="F35" s="11">
        <v>0.37</v>
      </c>
      <c r="G35" s="23">
        <v>2</v>
      </c>
      <c r="H35" s="7">
        <v>4</v>
      </c>
      <c r="I35" s="7">
        <f t="shared" si="7"/>
        <v>592</v>
      </c>
      <c r="J35" s="3" t="str">
        <f t="shared" si="8"/>
        <v>Average</v>
      </c>
      <c r="K35" s="3" t="str">
        <f t="shared" si="9"/>
        <v>Medium Discount</v>
      </c>
    </row>
    <row r="36" spans="1:11">
      <c r="A36" s="3" t="s">
        <v>84</v>
      </c>
      <c r="B36" s="7">
        <v>880</v>
      </c>
      <c r="C36" s="7">
        <v>1350</v>
      </c>
      <c r="D36" s="8">
        <f t="shared" si="5"/>
        <v>880</v>
      </c>
      <c r="E36" s="7">
        <f t="shared" si="6"/>
        <v>1350</v>
      </c>
      <c r="F36" s="11">
        <v>0.35</v>
      </c>
      <c r="G36" s="23">
        <v>6</v>
      </c>
      <c r="H36" s="7">
        <v>4</v>
      </c>
      <c r="I36" s="7">
        <f t="shared" si="7"/>
        <v>470</v>
      </c>
      <c r="J36" s="3" t="str">
        <f t="shared" si="8"/>
        <v>Average</v>
      </c>
      <c r="K36" s="3" t="str">
        <f t="shared" si="9"/>
        <v>Medium Discount</v>
      </c>
    </row>
    <row r="37" spans="1:11">
      <c r="A37" s="3" t="s">
        <v>101</v>
      </c>
      <c r="B37" s="7">
        <v>2999</v>
      </c>
      <c r="C37" s="7">
        <v>3290</v>
      </c>
      <c r="D37" s="8">
        <f t="shared" si="5"/>
        <v>2999</v>
      </c>
      <c r="E37" s="7">
        <f t="shared" si="6"/>
        <v>3290</v>
      </c>
      <c r="F37" s="11">
        <v>0.09</v>
      </c>
      <c r="G37" s="23">
        <v>15</v>
      </c>
      <c r="H37" s="7">
        <v>4</v>
      </c>
      <c r="I37" s="7">
        <f t="shared" si="7"/>
        <v>291</v>
      </c>
      <c r="J37" s="3" t="str">
        <f t="shared" si="8"/>
        <v>Average</v>
      </c>
      <c r="K37" s="3" t="str">
        <f t="shared" si="9"/>
        <v>Low Discount</v>
      </c>
    </row>
    <row r="38" spans="1:11">
      <c r="A38" s="3" t="s">
        <v>33</v>
      </c>
      <c r="B38" s="7">
        <v>1600</v>
      </c>
      <c r="C38" s="7">
        <v>2929</v>
      </c>
      <c r="D38" s="8">
        <f t="shared" si="5"/>
        <v>1600</v>
      </c>
      <c r="E38" s="7">
        <f t="shared" si="6"/>
        <v>2929</v>
      </c>
      <c r="F38" s="11">
        <v>0.45</v>
      </c>
      <c r="G38" s="23">
        <v>5</v>
      </c>
      <c r="H38" s="7">
        <v>3.8</v>
      </c>
      <c r="I38" s="7">
        <f t="shared" si="7"/>
        <v>1329</v>
      </c>
      <c r="J38" s="3" t="str">
        <f t="shared" si="8"/>
        <v>Average</v>
      </c>
      <c r="K38" s="3" t="str">
        <f t="shared" si="9"/>
        <v>High Discount</v>
      </c>
    </row>
    <row r="39" spans="1:11">
      <c r="A39" s="3" t="s">
        <v>66</v>
      </c>
      <c r="B39" s="7">
        <v>1350</v>
      </c>
      <c r="C39" s="7">
        <v>1990</v>
      </c>
      <c r="D39" s="8">
        <f t="shared" si="5"/>
        <v>1350</v>
      </c>
      <c r="E39" s="7">
        <f t="shared" si="6"/>
        <v>1990</v>
      </c>
      <c r="F39" s="11">
        <v>0.32</v>
      </c>
      <c r="G39" s="23">
        <v>13</v>
      </c>
      <c r="H39" s="7">
        <v>3.8</v>
      </c>
      <c r="I39" s="7">
        <f t="shared" si="7"/>
        <v>640</v>
      </c>
      <c r="J39" s="3" t="str">
        <f t="shared" si="8"/>
        <v>Average</v>
      </c>
      <c r="K39" s="3" t="str">
        <f t="shared" si="9"/>
        <v>Medium Discount</v>
      </c>
    </row>
    <row r="40" spans="1:11">
      <c r="A40" s="3" t="s">
        <v>65</v>
      </c>
      <c r="B40" s="7">
        <v>2880</v>
      </c>
      <c r="C40" s="7">
        <v>3520</v>
      </c>
      <c r="D40" s="8">
        <f t="shared" si="5"/>
        <v>2880</v>
      </c>
      <c r="E40" s="7">
        <f t="shared" si="6"/>
        <v>3520</v>
      </c>
      <c r="F40" s="11">
        <v>0.18</v>
      </c>
      <c r="G40" s="23">
        <v>12</v>
      </c>
      <c r="H40" s="7">
        <v>3.8</v>
      </c>
      <c r="I40" s="7">
        <f t="shared" si="7"/>
        <v>640</v>
      </c>
      <c r="J40" s="3" t="str">
        <f t="shared" si="8"/>
        <v>Average</v>
      </c>
      <c r="K40" s="3" t="str">
        <f t="shared" si="9"/>
        <v>Low Discount</v>
      </c>
    </row>
    <row r="41" spans="1:11">
      <c r="A41" s="3" t="s">
        <v>123</v>
      </c>
      <c r="B41" s="7">
        <v>38</v>
      </c>
      <c r="C41" s="7">
        <v>80</v>
      </c>
      <c r="D41" s="8">
        <f t="shared" si="5"/>
        <v>38</v>
      </c>
      <c r="E41" s="7">
        <f t="shared" si="6"/>
        <v>80</v>
      </c>
      <c r="F41" s="11">
        <v>0.53</v>
      </c>
      <c r="G41" s="23">
        <v>13</v>
      </c>
      <c r="H41" s="7">
        <v>3.3</v>
      </c>
      <c r="I41" s="7">
        <f t="shared" si="7"/>
        <v>42</v>
      </c>
      <c r="J41" s="3" t="str">
        <f t="shared" si="8"/>
        <v>Average</v>
      </c>
      <c r="K41" s="3" t="str">
        <f t="shared" si="9"/>
        <v>High Discount</v>
      </c>
    </row>
    <row r="42" spans="1:11">
      <c r="A42" s="3" t="s">
        <v>75</v>
      </c>
      <c r="B42" s="7">
        <v>458</v>
      </c>
      <c r="C42" s="7">
        <v>986</v>
      </c>
      <c r="D42" s="8">
        <f t="shared" si="5"/>
        <v>458</v>
      </c>
      <c r="E42" s="7">
        <f t="shared" si="6"/>
        <v>986</v>
      </c>
      <c r="F42" s="11">
        <v>0.54</v>
      </c>
      <c r="G42" s="23">
        <v>10</v>
      </c>
      <c r="H42" s="7">
        <v>3</v>
      </c>
      <c r="I42" s="7">
        <f t="shared" si="7"/>
        <v>528</v>
      </c>
      <c r="J42" s="3" t="str">
        <f t="shared" si="8"/>
        <v>Average</v>
      </c>
      <c r="K42" s="3" t="str">
        <f t="shared" si="9"/>
        <v>High Discount</v>
      </c>
    </row>
    <row r="43" spans="1:11">
      <c r="A43" s="3" t="s">
        <v>38</v>
      </c>
      <c r="B43" s="7">
        <v>1189</v>
      </c>
      <c r="C43" s="7">
        <v>2199</v>
      </c>
      <c r="D43" s="8">
        <f t="shared" si="5"/>
        <v>1189</v>
      </c>
      <c r="E43" s="7">
        <f t="shared" si="6"/>
        <v>2199</v>
      </c>
      <c r="F43" s="11">
        <v>0.46</v>
      </c>
      <c r="G43" s="23">
        <v>1</v>
      </c>
      <c r="H43" s="7">
        <v>3</v>
      </c>
      <c r="I43" s="7">
        <f t="shared" si="7"/>
        <v>1010</v>
      </c>
      <c r="J43" s="3" t="str">
        <f t="shared" si="8"/>
        <v>Average</v>
      </c>
      <c r="K43" s="3" t="str">
        <f t="shared" si="9"/>
        <v>High Discount</v>
      </c>
    </row>
    <row r="44" spans="1:11">
      <c r="A44" s="3" t="s">
        <v>90</v>
      </c>
      <c r="B44" s="7">
        <v>509</v>
      </c>
      <c r="C44" s="7">
        <v>899</v>
      </c>
      <c r="D44" s="8">
        <f t="shared" si="5"/>
        <v>509</v>
      </c>
      <c r="E44" s="7">
        <f t="shared" si="6"/>
        <v>899</v>
      </c>
      <c r="F44" s="11">
        <v>0.43</v>
      </c>
      <c r="G44" s="23">
        <v>5</v>
      </c>
      <c r="H44" s="7">
        <v>3</v>
      </c>
      <c r="I44" s="7">
        <f t="shared" si="7"/>
        <v>390</v>
      </c>
      <c r="J44" s="3" t="str">
        <f t="shared" si="8"/>
        <v>Average</v>
      </c>
      <c r="K44" s="3" t="str">
        <f t="shared" si="9"/>
        <v>High Discount</v>
      </c>
    </row>
    <row r="45" spans="1:11">
      <c r="A45" s="3" t="s">
        <v>25</v>
      </c>
      <c r="B45" s="7">
        <v>3750</v>
      </c>
      <c r="C45" s="7">
        <v>6143</v>
      </c>
      <c r="D45" s="8">
        <f t="shared" si="5"/>
        <v>3750</v>
      </c>
      <c r="E45" s="7">
        <f t="shared" si="6"/>
        <v>6143</v>
      </c>
      <c r="F45" s="11">
        <v>0.39</v>
      </c>
      <c r="G45" s="23">
        <v>5</v>
      </c>
      <c r="H45" s="7">
        <v>3</v>
      </c>
      <c r="I45" s="7">
        <f t="shared" si="7"/>
        <v>2393</v>
      </c>
      <c r="J45" s="3" t="str">
        <f t="shared" si="8"/>
        <v>Average</v>
      </c>
      <c r="K45" s="3" t="str">
        <f t="shared" si="9"/>
        <v>Medium Discount</v>
      </c>
    </row>
    <row r="46" spans="1:11">
      <c r="A46" s="3" t="s">
        <v>45</v>
      </c>
      <c r="B46" s="7">
        <v>2300</v>
      </c>
      <c r="C46" s="7">
        <v>3240</v>
      </c>
      <c r="D46" s="8">
        <f t="shared" si="5"/>
        <v>2300</v>
      </c>
      <c r="E46" s="7">
        <f t="shared" si="6"/>
        <v>3240</v>
      </c>
      <c r="F46" s="11">
        <v>0.28999999999999998</v>
      </c>
      <c r="G46" s="23">
        <v>5</v>
      </c>
      <c r="H46" s="7">
        <v>3</v>
      </c>
      <c r="I46" s="7">
        <f t="shared" si="7"/>
        <v>940</v>
      </c>
      <c r="J46" s="3" t="str">
        <f t="shared" si="8"/>
        <v>Average</v>
      </c>
      <c r="K46" s="3" t="str">
        <f t="shared" si="9"/>
        <v>Medium Discount</v>
      </c>
    </row>
    <row r="47" spans="1:11">
      <c r="A47" s="3" t="s">
        <v>95</v>
      </c>
      <c r="B47" s="7">
        <v>1220</v>
      </c>
      <c r="C47" s="7">
        <v>1555</v>
      </c>
      <c r="D47" s="8">
        <f t="shared" si="5"/>
        <v>1220</v>
      </c>
      <c r="E47" s="7">
        <f t="shared" si="6"/>
        <v>1555</v>
      </c>
      <c r="F47" s="11">
        <v>0.22</v>
      </c>
      <c r="G47" s="23">
        <v>16</v>
      </c>
      <c r="H47" s="7">
        <v>2.9</v>
      </c>
      <c r="I47" s="7">
        <f t="shared" si="7"/>
        <v>335</v>
      </c>
      <c r="J47" s="3" t="str">
        <f t="shared" si="8"/>
        <v>Poor</v>
      </c>
      <c r="K47" s="3" t="str">
        <f t="shared" si="9"/>
        <v>Medium Discount</v>
      </c>
    </row>
    <row r="48" spans="1:11">
      <c r="A48" s="3" t="s">
        <v>88</v>
      </c>
      <c r="B48" s="7">
        <v>445</v>
      </c>
      <c r="C48" s="7">
        <v>873</v>
      </c>
      <c r="D48" s="8">
        <f t="shared" si="5"/>
        <v>445</v>
      </c>
      <c r="E48" s="7">
        <f t="shared" si="6"/>
        <v>873</v>
      </c>
      <c r="F48" s="11">
        <v>0.49</v>
      </c>
      <c r="G48" s="23">
        <v>69</v>
      </c>
      <c r="H48" s="7">
        <v>2.8</v>
      </c>
      <c r="I48" s="7">
        <f t="shared" si="7"/>
        <v>428</v>
      </c>
      <c r="J48" s="3" t="str">
        <f t="shared" si="8"/>
        <v>Poor</v>
      </c>
      <c r="K48" s="3" t="str">
        <f t="shared" si="9"/>
        <v>High Discount</v>
      </c>
    </row>
    <row r="49" spans="1:11">
      <c r="A49" s="3" t="s">
        <v>92</v>
      </c>
      <c r="B49" s="7">
        <v>325</v>
      </c>
      <c r="C49" s="7">
        <v>680</v>
      </c>
      <c r="D49" s="8">
        <f t="shared" si="5"/>
        <v>325</v>
      </c>
      <c r="E49" s="7">
        <f t="shared" si="6"/>
        <v>680</v>
      </c>
      <c r="F49" s="11">
        <v>0.52</v>
      </c>
      <c r="G49" s="23">
        <v>15</v>
      </c>
      <c r="H49" s="7">
        <v>2.7</v>
      </c>
      <c r="I49" s="7">
        <f t="shared" si="7"/>
        <v>355</v>
      </c>
      <c r="J49" s="3" t="str">
        <f t="shared" si="8"/>
        <v>Poor</v>
      </c>
      <c r="K49" s="3" t="str">
        <f t="shared" si="9"/>
        <v>High Discount</v>
      </c>
    </row>
    <row r="50" spans="1:11">
      <c r="A50" s="3" t="s">
        <v>97</v>
      </c>
      <c r="B50" s="7">
        <v>382</v>
      </c>
      <c r="C50" s="7">
        <v>700</v>
      </c>
      <c r="D50" s="8">
        <f t="shared" si="5"/>
        <v>382</v>
      </c>
      <c r="E50" s="7">
        <f t="shared" si="6"/>
        <v>700</v>
      </c>
      <c r="F50" s="11">
        <v>0.45</v>
      </c>
      <c r="G50" s="23">
        <v>17</v>
      </c>
      <c r="H50" s="7">
        <v>2.6</v>
      </c>
      <c r="I50" s="7">
        <f t="shared" si="7"/>
        <v>318</v>
      </c>
      <c r="J50" s="3" t="str">
        <f t="shared" si="8"/>
        <v>Poor</v>
      </c>
      <c r="K50" s="3" t="str">
        <f t="shared" si="9"/>
        <v>High Discount</v>
      </c>
    </row>
    <row r="51" spans="1:11">
      <c r="A51" s="3" t="s">
        <v>96</v>
      </c>
      <c r="B51" s="7">
        <v>2170</v>
      </c>
      <c r="C51" s="7">
        <v>2500</v>
      </c>
      <c r="D51" s="8">
        <f t="shared" si="5"/>
        <v>2170</v>
      </c>
      <c r="E51" s="7">
        <f t="shared" si="6"/>
        <v>2500</v>
      </c>
      <c r="F51" s="11">
        <v>0.13</v>
      </c>
      <c r="G51" s="23">
        <v>6</v>
      </c>
      <c r="H51" s="7">
        <v>2.5</v>
      </c>
      <c r="I51" s="7">
        <f t="shared" si="7"/>
        <v>330</v>
      </c>
      <c r="J51" s="3" t="str">
        <f t="shared" si="8"/>
        <v>Poor</v>
      </c>
      <c r="K51" s="3" t="str">
        <f t="shared" si="9"/>
        <v>Low Discount</v>
      </c>
    </row>
    <row r="52" spans="1:11">
      <c r="A52" s="3" t="s">
        <v>41</v>
      </c>
      <c r="B52" s="7">
        <v>1000</v>
      </c>
      <c r="C52" s="7">
        <v>2000</v>
      </c>
      <c r="D52" s="8">
        <f t="shared" si="5"/>
        <v>1000</v>
      </c>
      <c r="E52" s="7">
        <f t="shared" si="6"/>
        <v>2000</v>
      </c>
      <c r="F52" s="11">
        <v>0.5</v>
      </c>
      <c r="G52" s="23">
        <v>7</v>
      </c>
      <c r="H52" s="9">
        <v>2.2999999999999998</v>
      </c>
      <c r="I52" s="7">
        <f t="shared" si="7"/>
        <v>1000</v>
      </c>
      <c r="J52" s="3" t="str">
        <f t="shared" si="8"/>
        <v>Poor</v>
      </c>
      <c r="K52" s="3" t="str">
        <f t="shared" si="9"/>
        <v>High Discount</v>
      </c>
    </row>
    <row r="53" spans="1:11">
      <c r="A53" s="3" t="s">
        <v>104</v>
      </c>
      <c r="B53" s="7">
        <v>345</v>
      </c>
      <c r="C53" s="7">
        <v>602</v>
      </c>
      <c r="D53" s="8">
        <f t="shared" si="5"/>
        <v>345</v>
      </c>
      <c r="E53" s="7">
        <f t="shared" si="6"/>
        <v>602</v>
      </c>
      <c r="F53" s="11">
        <v>0.43</v>
      </c>
      <c r="G53" s="23">
        <v>6</v>
      </c>
      <c r="H53" s="9">
        <v>2.2999999999999998</v>
      </c>
      <c r="I53" s="7">
        <f t="shared" si="7"/>
        <v>257</v>
      </c>
      <c r="J53" s="3" t="str">
        <f t="shared" si="8"/>
        <v>Poor</v>
      </c>
      <c r="K53" s="3" t="str">
        <f t="shared" si="9"/>
        <v>High Discount</v>
      </c>
    </row>
    <row r="54" spans="1:11">
      <c r="A54" s="3" t="s">
        <v>48</v>
      </c>
      <c r="B54" s="7">
        <v>968</v>
      </c>
      <c r="C54" s="7">
        <v>1814</v>
      </c>
      <c r="D54" s="8">
        <f t="shared" si="5"/>
        <v>968</v>
      </c>
      <c r="E54" s="7">
        <f t="shared" si="6"/>
        <v>1814</v>
      </c>
      <c r="F54" s="11">
        <v>0.47</v>
      </c>
      <c r="G54" s="23">
        <v>6</v>
      </c>
      <c r="H54" s="9">
        <v>2.2000000000000002</v>
      </c>
      <c r="I54" s="7">
        <f t="shared" si="7"/>
        <v>846</v>
      </c>
      <c r="J54" s="3" t="str">
        <f t="shared" si="8"/>
        <v>Poor</v>
      </c>
      <c r="K54" s="3" t="str">
        <f t="shared" si="9"/>
        <v>High Discount</v>
      </c>
    </row>
    <row r="55" spans="1:11">
      <c r="A55" s="3" t="s">
        <v>50</v>
      </c>
      <c r="B55" s="7">
        <v>990</v>
      </c>
      <c r="C55" s="7">
        <v>1814</v>
      </c>
      <c r="D55" s="8">
        <f t="shared" si="5"/>
        <v>990</v>
      </c>
      <c r="E55" s="7">
        <f t="shared" si="6"/>
        <v>1814</v>
      </c>
      <c r="F55" s="11">
        <v>0.45</v>
      </c>
      <c r="G55" s="23">
        <v>6</v>
      </c>
      <c r="H55" s="9">
        <v>2.2000000000000002</v>
      </c>
      <c r="I55" s="7">
        <f t="shared" si="7"/>
        <v>824</v>
      </c>
      <c r="J55" s="3" t="str">
        <f t="shared" si="8"/>
        <v>Poor</v>
      </c>
      <c r="K55" s="3" t="str">
        <f t="shared" si="9"/>
        <v>High Discount</v>
      </c>
    </row>
    <row r="56" spans="1:11">
      <c r="A56" s="3" t="s">
        <v>23</v>
      </c>
      <c r="B56" s="7">
        <v>2115</v>
      </c>
      <c r="C56" s="7">
        <v>4700</v>
      </c>
      <c r="D56" s="8">
        <f t="shared" si="5"/>
        <v>2115</v>
      </c>
      <c r="E56" s="7">
        <f t="shared" si="6"/>
        <v>4700</v>
      </c>
      <c r="F56" s="11">
        <v>0.55000000000000004</v>
      </c>
      <c r="G56" s="23">
        <v>13</v>
      </c>
      <c r="H56" s="9">
        <v>2.1</v>
      </c>
      <c r="I56" s="7">
        <f t="shared" si="7"/>
        <v>2585</v>
      </c>
      <c r="J56" s="3" t="str">
        <f t="shared" si="8"/>
        <v>Poor</v>
      </c>
      <c r="K56" s="3" t="str">
        <f t="shared" si="9"/>
        <v>High Discount</v>
      </c>
    </row>
    <row r="57" spans="1:11">
      <c r="A57" s="3" t="s">
        <v>31</v>
      </c>
      <c r="B57" s="7">
        <v>1570</v>
      </c>
      <c r="C57" s="7">
        <v>2988</v>
      </c>
      <c r="D57" s="8">
        <f t="shared" si="5"/>
        <v>1570</v>
      </c>
      <c r="E57" s="7">
        <f t="shared" si="6"/>
        <v>2988</v>
      </c>
      <c r="F57" s="11">
        <v>0.47</v>
      </c>
      <c r="G57" s="23">
        <v>7</v>
      </c>
      <c r="H57" s="9">
        <v>2.1</v>
      </c>
      <c r="I57" s="7">
        <f t="shared" si="7"/>
        <v>1418</v>
      </c>
      <c r="J57" s="3" t="str">
        <f t="shared" si="8"/>
        <v>Poor</v>
      </c>
      <c r="K57" s="3" t="str">
        <f t="shared" si="9"/>
        <v>High Discount</v>
      </c>
    </row>
    <row r="58" spans="1:11">
      <c r="A58" s="3" t="s">
        <v>86</v>
      </c>
      <c r="B58" s="7">
        <v>450</v>
      </c>
      <c r="C58" s="7">
        <v>900</v>
      </c>
      <c r="D58" s="8">
        <f t="shared" si="5"/>
        <v>450</v>
      </c>
      <c r="E58" s="7">
        <f t="shared" si="6"/>
        <v>900</v>
      </c>
      <c r="F58" s="11">
        <v>0.5</v>
      </c>
      <c r="G58" s="23">
        <v>1</v>
      </c>
      <c r="H58" s="9">
        <v>2</v>
      </c>
      <c r="I58" s="7">
        <f t="shared" si="7"/>
        <v>450</v>
      </c>
      <c r="J58" s="3" t="str">
        <f t="shared" si="8"/>
        <v>Poor</v>
      </c>
      <c r="K58" s="3" t="str">
        <f t="shared" si="9"/>
        <v>High Discount</v>
      </c>
    </row>
    <row r="59" spans="1:11">
      <c r="A59" s="3" t="s">
        <v>93</v>
      </c>
      <c r="B59" s="7">
        <v>199</v>
      </c>
      <c r="C59" s="7">
        <v>553</v>
      </c>
      <c r="D59" s="8">
        <f t="shared" si="5"/>
        <v>199</v>
      </c>
      <c r="E59" s="7">
        <f t="shared" si="6"/>
        <v>553</v>
      </c>
      <c r="F59" s="11">
        <v>0.64</v>
      </c>
      <c r="G59" s="23">
        <v>0</v>
      </c>
      <c r="H59" s="9">
        <v>0</v>
      </c>
      <c r="I59" s="7">
        <f t="shared" si="7"/>
        <v>354</v>
      </c>
      <c r="J59" s="3" t="str">
        <f t="shared" si="8"/>
        <v>Poor</v>
      </c>
      <c r="K59" s="3" t="str">
        <f t="shared" si="9"/>
        <v>High Discount</v>
      </c>
    </row>
    <row r="60" spans="1:11">
      <c r="A60" s="3" t="s">
        <v>99</v>
      </c>
      <c r="B60" s="7">
        <v>199</v>
      </c>
      <c r="C60" s="7">
        <v>504</v>
      </c>
      <c r="D60" s="8">
        <f t="shared" si="5"/>
        <v>199</v>
      </c>
      <c r="E60" s="7">
        <f t="shared" si="6"/>
        <v>504</v>
      </c>
      <c r="F60" s="11">
        <v>0.61</v>
      </c>
      <c r="G60" s="23">
        <v>0</v>
      </c>
      <c r="H60" s="9">
        <v>0</v>
      </c>
      <c r="I60" s="7">
        <f t="shared" si="7"/>
        <v>305</v>
      </c>
      <c r="J60" s="3" t="str">
        <f t="shared" si="8"/>
        <v>Poor</v>
      </c>
      <c r="K60" s="3" t="str">
        <f t="shared" si="9"/>
        <v>High Discount</v>
      </c>
    </row>
    <row r="61" spans="1:11">
      <c r="A61" s="3" t="s">
        <v>105</v>
      </c>
      <c r="B61" s="7">
        <v>238</v>
      </c>
      <c r="C61" s="7">
        <v>476</v>
      </c>
      <c r="D61" s="8">
        <f t="shared" si="5"/>
        <v>238</v>
      </c>
      <c r="E61" s="7">
        <f t="shared" si="6"/>
        <v>476</v>
      </c>
      <c r="F61" s="11">
        <v>0.5</v>
      </c>
      <c r="G61" s="23">
        <v>0</v>
      </c>
      <c r="H61" s="9">
        <v>0</v>
      </c>
      <c r="I61" s="7">
        <f t="shared" si="7"/>
        <v>238</v>
      </c>
      <c r="J61" s="3" t="str">
        <f t="shared" si="8"/>
        <v>Poor</v>
      </c>
      <c r="K61" s="3" t="str">
        <f t="shared" si="9"/>
        <v>High Discount</v>
      </c>
    </row>
    <row r="62" spans="1:11">
      <c r="A62" s="3" t="s">
        <v>39</v>
      </c>
      <c r="B62" s="7">
        <v>999</v>
      </c>
      <c r="C62" s="7">
        <v>2000</v>
      </c>
      <c r="D62" s="8">
        <f t="shared" si="5"/>
        <v>999</v>
      </c>
      <c r="E62" s="7">
        <f t="shared" si="6"/>
        <v>2000</v>
      </c>
      <c r="F62" s="11">
        <v>0.5</v>
      </c>
      <c r="G62" s="23">
        <v>0</v>
      </c>
      <c r="H62" s="9">
        <v>0</v>
      </c>
      <c r="I62" s="7">
        <f t="shared" si="7"/>
        <v>1001</v>
      </c>
      <c r="J62" s="3" t="str">
        <f t="shared" si="8"/>
        <v>Poor</v>
      </c>
      <c r="K62" s="3" t="str">
        <f t="shared" si="9"/>
        <v>High Discount</v>
      </c>
    </row>
    <row r="63" spans="1:11">
      <c r="A63" s="3" t="s">
        <v>100</v>
      </c>
      <c r="B63" s="7">
        <v>299</v>
      </c>
      <c r="C63" s="7">
        <v>600</v>
      </c>
      <c r="D63" s="8">
        <f t="shared" si="5"/>
        <v>299</v>
      </c>
      <c r="E63" s="7">
        <f t="shared" si="6"/>
        <v>600</v>
      </c>
      <c r="F63" s="11">
        <v>0.5</v>
      </c>
      <c r="G63" s="23">
        <v>0</v>
      </c>
      <c r="H63" s="9">
        <v>0</v>
      </c>
      <c r="I63" s="7">
        <f t="shared" si="7"/>
        <v>301</v>
      </c>
      <c r="J63" s="3" t="str">
        <f t="shared" si="8"/>
        <v>Poor</v>
      </c>
      <c r="K63" s="3" t="str">
        <f t="shared" si="9"/>
        <v>High Discount</v>
      </c>
    </row>
    <row r="64" spans="1:11">
      <c r="A64" s="3" t="s">
        <v>47</v>
      </c>
      <c r="B64" s="7">
        <v>850</v>
      </c>
      <c r="C64" s="7">
        <v>1700</v>
      </c>
      <c r="D64" s="8">
        <f t="shared" si="5"/>
        <v>850</v>
      </c>
      <c r="E64" s="7">
        <f t="shared" si="6"/>
        <v>1700</v>
      </c>
      <c r="F64" s="11">
        <v>0.5</v>
      </c>
      <c r="G64" s="23">
        <v>0</v>
      </c>
      <c r="H64" s="9">
        <v>0</v>
      </c>
      <c r="I64" s="7">
        <f t="shared" si="7"/>
        <v>850</v>
      </c>
      <c r="J64" s="3" t="str">
        <f t="shared" si="8"/>
        <v>Poor</v>
      </c>
      <c r="K64" s="3" t="str">
        <f t="shared" si="9"/>
        <v>High Discount</v>
      </c>
    </row>
    <row r="65" spans="1:11">
      <c r="A65" s="3" t="s">
        <v>35</v>
      </c>
      <c r="B65" s="7">
        <v>1200</v>
      </c>
      <c r="C65" s="7">
        <v>2400</v>
      </c>
      <c r="D65" s="8">
        <f t="shared" si="5"/>
        <v>1200</v>
      </c>
      <c r="E65" s="7">
        <f t="shared" si="6"/>
        <v>2400</v>
      </c>
      <c r="F65" s="11">
        <v>0.5</v>
      </c>
      <c r="G65" s="23">
        <v>0</v>
      </c>
      <c r="H65" s="9">
        <v>0</v>
      </c>
      <c r="I65" s="7">
        <f t="shared" si="7"/>
        <v>1200</v>
      </c>
      <c r="J65" s="3" t="str">
        <f t="shared" si="8"/>
        <v>Poor</v>
      </c>
      <c r="K65" s="3" t="str">
        <f t="shared" si="9"/>
        <v>High Discount</v>
      </c>
    </row>
    <row r="66" spans="1:11">
      <c r="A66" s="3" t="s">
        <v>85</v>
      </c>
      <c r="B66" s="7">
        <v>475</v>
      </c>
      <c r="C66" s="7">
        <v>931</v>
      </c>
      <c r="D66" s="8">
        <f t="shared" ref="D66:D97" si="10">IF(ISNUMBER(FIND("-",B66)),VALUE(TRIM(LEFT(B66,FIND("-",B66)-1))),VALUE(B66))</f>
        <v>475</v>
      </c>
      <c r="E66" s="7">
        <f t="shared" ref="E66:E97" si="11">IF(ISNUMBER(FIND("-",C66)),VALUE(TRIM(LEFT(C66,FIND("-",C66)-1))),VALUE(C66))</f>
        <v>931</v>
      </c>
      <c r="F66" s="11">
        <v>0.49</v>
      </c>
      <c r="G66" s="23">
        <v>0</v>
      </c>
      <c r="H66" s="9">
        <v>0</v>
      </c>
      <c r="I66" s="7">
        <f t="shared" ref="I66:I97" si="12">E66-D66</f>
        <v>456</v>
      </c>
      <c r="J66" s="3" t="str">
        <f t="shared" ref="J66:J97" si="13">IF(H66&lt;3,"Poor",IF(H66&lt;=4.4,"Average","Excellent"))</f>
        <v>Poor</v>
      </c>
      <c r="K66" s="3" t="str">
        <f t="shared" ref="K66:K97" si="14">IF(F66&lt;0.2,"Low Discount",IF(AND(F66&gt;=0.2,F66&lt;=0.4),"Medium Discount","High Discount"))</f>
        <v>High Discount</v>
      </c>
    </row>
    <row r="67" spans="1:11">
      <c r="A67" s="3" t="s">
        <v>63</v>
      </c>
      <c r="B67" s="7">
        <v>671</v>
      </c>
      <c r="C67" s="7">
        <v>1316</v>
      </c>
      <c r="D67" s="8">
        <f t="shared" si="10"/>
        <v>671</v>
      </c>
      <c r="E67" s="7">
        <f t="shared" si="11"/>
        <v>1316</v>
      </c>
      <c r="F67" s="11">
        <v>0.49</v>
      </c>
      <c r="G67" s="23">
        <v>0</v>
      </c>
      <c r="H67" s="9">
        <v>0</v>
      </c>
      <c r="I67" s="7">
        <f t="shared" si="12"/>
        <v>645</v>
      </c>
      <c r="J67" s="3" t="str">
        <f t="shared" si="13"/>
        <v>Poor</v>
      </c>
      <c r="K67" s="3" t="str">
        <f t="shared" si="14"/>
        <v>High Discount</v>
      </c>
    </row>
    <row r="68" spans="1:11">
      <c r="A68" s="3" t="s">
        <v>54</v>
      </c>
      <c r="B68" s="7">
        <v>799</v>
      </c>
      <c r="C68" s="7">
        <v>1567</v>
      </c>
      <c r="D68" s="8">
        <f t="shared" si="10"/>
        <v>799</v>
      </c>
      <c r="E68" s="7">
        <f t="shared" si="11"/>
        <v>1567</v>
      </c>
      <c r="F68" s="11">
        <v>0.49</v>
      </c>
      <c r="G68" s="23">
        <v>0</v>
      </c>
      <c r="H68" s="9">
        <v>0</v>
      </c>
      <c r="I68" s="7">
        <f t="shared" si="12"/>
        <v>768</v>
      </c>
      <c r="J68" s="3" t="str">
        <f t="shared" si="13"/>
        <v>Poor</v>
      </c>
      <c r="K68" s="3" t="str">
        <f t="shared" si="14"/>
        <v>High Discount</v>
      </c>
    </row>
    <row r="69" spans="1:11">
      <c r="A69" s="3" t="s">
        <v>110</v>
      </c>
      <c r="B69" s="7">
        <v>230</v>
      </c>
      <c r="C69" s="7">
        <v>450</v>
      </c>
      <c r="D69" s="8">
        <f t="shared" si="10"/>
        <v>230</v>
      </c>
      <c r="E69" s="7">
        <f t="shared" si="11"/>
        <v>450</v>
      </c>
      <c r="F69" s="11">
        <v>0.49</v>
      </c>
      <c r="G69" s="23">
        <v>0</v>
      </c>
      <c r="H69" s="9">
        <v>0</v>
      </c>
      <c r="I69" s="7">
        <f t="shared" si="12"/>
        <v>220</v>
      </c>
      <c r="J69" s="3" t="str">
        <f t="shared" si="13"/>
        <v>Poor</v>
      </c>
      <c r="K69" s="3" t="str">
        <f t="shared" si="14"/>
        <v>High Discount</v>
      </c>
    </row>
    <row r="70" spans="1:11">
      <c r="A70" s="3" t="s">
        <v>103</v>
      </c>
      <c r="B70" s="7">
        <v>274</v>
      </c>
      <c r="C70" s="7">
        <v>537</v>
      </c>
      <c r="D70" s="8">
        <f t="shared" si="10"/>
        <v>274</v>
      </c>
      <c r="E70" s="7">
        <f t="shared" si="11"/>
        <v>537</v>
      </c>
      <c r="F70" s="11">
        <v>0.49</v>
      </c>
      <c r="G70" s="23">
        <v>0</v>
      </c>
      <c r="H70" s="9">
        <v>0</v>
      </c>
      <c r="I70" s="7">
        <f t="shared" si="12"/>
        <v>263</v>
      </c>
      <c r="J70" s="3" t="str">
        <f t="shared" si="13"/>
        <v>Poor</v>
      </c>
      <c r="K70" s="3" t="str">
        <f t="shared" si="14"/>
        <v>High Discount</v>
      </c>
    </row>
    <row r="71" spans="1:11">
      <c r="A71" s="3" t="s">
        <v>106</v>
      </c>
      <c r="B71" s="7">
        <v>248</v>
      </c>
      <c r="C71" s="7">
        <v>486</v>
      </c>
      <c r="D71" s="8">
        <f t="shared" si="10"/>
        <v>248</v>
      </c>
      <c r="E71" s="7">
        <f t="shared" si="11"/>
        <v>486</v>
      </c>
      <c r="F71" s="11">
        <v>0.49</v>
      </c>
      <c r="G71" s="23">
        <v>0</v>
      </c>
      <c r="H71" s="9">
        <v>0</v>
      </c>
      <c r="I71" s="7">
        <f t="shared" si="12"/>
        <v>238</v>
      </c>
      <c r="J71" s="3" t="str">
        <f t="shared" si="13"/>
        <v>Poor</v>
      </c>
      <c r="K71" s="3" t="str">
        <f t="shared" si="14"/>
        <v>High Discount</v>
      </c>
    </row>
    <row r="72" spans="1:11">
      <c r="A72" s="3" t="s">
        <v>79</v>
      </c>
      <c r="B72" s="7">
        <v>525</v>
      </c>
      <c r="C72" s="7">
        <v>1029</v>
      </c>
      <c r="D72" s="8">
        <f t="shared" si="10"/>
        <v>525</v>
      </c>
      <c r="E72" s="7">
        <f t="shared" si="11"/>
        <v>1029</v>
      </c>
      <c r="F72" s="11">
        <v>0.49</v>
      </c>
      <c r="G72" s="23">
        <v>0</v>
      </c>
      <c r="H72" s="9">
        <v>0</v>
      </c>
      <c r="I72" s="7">
        <f t="shared" si="12"/>
        <v>504</v>
      </c>
      <c r="J72" s="3" t="str">
        <f t="shared" si="13"/>
        <v>Poor</v>
      </c>
      <c r="K72" s="3" t="str">
        <f t="shared" si="14"/>
        <v>High Discount</v>
      </c>
    </row>
    <row r="73" spans="1:11">
      <c r="A73" s="3" t="s">
        <v>64</v>
      </c>
      <c r="B73" s="7">
        <v>699</v>
      </c>
      <c r="C73" s="7">
        <v>1343</v>
      </c>
      <c r="D73" s="8">
        <f t="shared" si="10"/>
        <v>699</v>
      </c>
      <c r="E73" s="7">
        <f t="shared" si="11"/>
        <v>1343</v>
      </c>
      <c r="F73" s="11">
        <v>0.48</v>
      </c>
      <c r="G73" s="23">
        <v>0</v>
      </c>
      <c r="H73" s="9">
        <v>0</v>
      </c>
      <c r="I73" s="7">
        <f t="shared" si="12"/>
        <v>644</v>
      </c>
      <c r="J73" s="3" t="str">
        <f t="shared" si="13"/>
        <v>Poor</v>
      </c>
      <c r="K73" s="3" t="str">
        <f t="shared" si="14"/>
        <v>High Discount</v>
      </c>
    </row>
    <row r="74" spans="1:11">
      <c r="A74" s="3" t="s">
        <v>34</v>
      </c>
      <c r="B74" s="7">
        <v>1300</v>
      </c>
      <c r="C74" s="7">
        <v>2500</v>
      </c>
      <c r="D74" s="8">
        <f t="shared" si="10"/>
        <v>1300</v>
      </c>
      <c r="E74" s="7">
        <f t="shared" si="11"/>
        <v>2500</v>
      </c>
      <c r="F74" s="11">
        <v>0.48</v>
      </c>
      <c r="G74" s="23">
        <v>0</v>
      </c>
      <c r="H74" s="9">
        <v>0</v>
      </c>
      <c r="I74" s="7">
        <f t="shared" si="12"/>
        <v>1200</v>
      </c>
      <c r="J74" s="3" t="str">
        <f t="shared" si="13"/>
        <v>Poor</v>
      </c>
      <c r="K74" s="3" t="str">
        <f t="shared" si="14"/>
        <v>High Discount</v>
      </c>
    </row>
    <row r="75" spans="1:11">
      <c r="A75" s="3" t="s">
        <v>119</v>
      </c>
      <c r="B75" s="7">
        <v>105</v>
      </c>
      <c r="C75" s="7">
        <v>200</v>
      </c>
      <c r="D75" s="8">
        <f t="shared" si="10"/>
        <v>105</v>
      </c>
      <c r="E75" s="7">
        <f t="shared" si="11"/>
        <v>200</v>
      </c>
      <c r="F75" s="11">
        <v>0.48</v>
      </c>
      <c r="G75" s="23">
        <v>0</v>
      </c>
      <c r="H75" s="9">
        <v>0</v>
      </c>
      <c r="I75" s="7">
        <f t="shared" si="12"/>
        <v>95</v>
      </c>
      <c r="J75" s="3" t="str">
        <f t="shared" si="13"/>
        <v>Poor</v>
      </c>
      <c r="K75" s="3" t="str">
        <f t="shared" si="14"/>
        <v>High Discount</v>
      </c>
    </row>
    <row r="76" spans="1:11">
      <c r="A76" s="3" t="s">
        <v>62</v>
      </c>
      <c r="B76" s="7">
        <v>790</v>
      </c>
      <c r="C76" s="7">
        <v>1485</v>
      </c>
      <c r="D76" s="8">
        <f t="shared" si="10"/>
        <v>790</v>
      </c>
      <c r="E76" s="7">
        <f t="shared" si="11"/>
        <v>1485</v>
      </c>
      <c r="F76" s="11">
        <v>0.47</v>
      </c>
      <c r="G76" s="23">
        <v>0</v>
      </c>
      <c r="H76" s="9">
        <v>0</v>
      </c>
      <c r="I76" s="7">
        <f t="shared" si="12"/>
        <v>695</v>
      </c>
      <c r="J76" s="3" t="str">
        <f t="shared" si="13"/>
        <v>Poor</v>
      </c>
      <c r="K76" s="3" t="str">
        <f t="shared" si="14"/>
        <v>High Discount</v>
      </c>
    </row>
    <row r="77" spans="1:11">
      <c r="A77" s="3" t="s">
        <v>52</v>
      </c>
      <c r="B77" s="7">
        <v>899</v>
      </c>
      <c r="C77" s="7">
        <v>1699</v>
      </c>
      <c r="D77" s="8">
        <f t="shared" si="10"/>
        <v>899</v>
      </c>
      <c r="E77" s="7">
        <f t="shared" si="11"/>
        <v>1699</v>
      </c>
      <c r="F77" s="11">
        <v>0.47</v>
      </c>
      <c r="G77" s="23">
        <v>0</v>
      </c>
      <c r="H77" s="9">
        <v>0</v>
      </c>
      <c r="I77" s="7">
        <f t="shared" si="12"/>
        <v>800</v>
      </c>
      <c r="J77" s="3" t="str">
        <f t="shared" si="13"/>
        <v>Poor</v>
      </c>
      <c r="K77" s="3" t="str">
        <f t="shared" si="14"/>
        <v>High Discount</v>
      </c>
    </row>
    <row r="78" spans="1:11">
      <c r="A78" s="3" t="s">
        <v>116</v>
      </c>
      <c r="B78" s="7">
        <v>169</v>
      </c>
      <c r="C78" s="7">
        <v>320</v>
      </c>
      <c r="D78" s="8">
        <f t="shared" si="10"/>
        <v>169</v>
      </c>
      <c r="E78" s="7">
        <f t="shared" si="11"/>
        <v>320</v>
      </c>
      <c r="F78" s="11">
        <v>0.47</v>
      </c>
      <c r="G78" s="23">
        <v>0</v>
      </c>
      <c r="H78" s="9">
        <v>0</v>
      </c>
      <c r="I78" s="7">
        <f t="shared" si="12"/>
        <v>151</v>
      </c>
      <c r="J78" s="3" t="str">
        <f t="shared" si="13"/>
        <v>Poor</v>
      </c>
      <c r="K78" s="3" t="str">
        <f t="shared" si="14"/>
        <v>High Discount</v>
      </c>
    </row>
    <row r="79" spans="1:11">
      <c r="A79" s="3" t="s">
        <v>27</v>
      </c>
      <c r="B79" s="7">
        <v>2200</v>
      </c>
      <c r="C79" s="7">
        <v>4080</v>
      </c>
      <c r="D79" s="8">
        <f t="shared" si="10"/>
        <v>2200</v>
      </c>
      <c r="E79" s="7">
        <f t="shared" si="11"/>
        <v>4080</v>
      </c>
      <c r="F79" s="11">
        <v>0.46</v>
      </c>
      <c r="G79" s="23">
        <v>0</v>
      </c>
      <c r="H79" s="9">
        <v>0</v>
      </c>
      <c r="I79" s="7">
        <f t="shared" si="12"/>
        <v>1880</v>
      </c>
      <c r="J79" s="3" t="str">
        <f t="shared" si="13"/>
        <v>Poor</v>
      </c>
      <c r="K79" s="3" t="str">
        <f t="shared" si="14"/>
        <v>High Discount</v>
      </c>
    </row>
    <row r="80" spans="1:11">
      <c r="A80" s="3" t="s">
        <v>89</v>
      </c>
      <c r="B80" s="7">
        <v>499</v>
      </c>
      <c r="C80" s="7">
        <v>900</v>
      </c>
      <c r="D80" s="8">
        <f t="shared" si="10"/>
        <v>499</v>
      </c>
      <c r="E80" s="7">
        <f t="shared" si="11"/>
        <v>900</v>
      </c>
      <c r="F80" s="11">
        <v>0.45</v>
      </c>
      <c r="G80" s="23">
        <v>0</v>
      </c>
      <c r="H80" s="9">
        <v>0</v>
      </c>
      <c r="I80" s="7">
        <f t="shared" si="12"/>
        <v>401</v>
      </c>
      <c r="J80" s="3" t="str">
        <f t="shared" si="13"/>
        <v>Poor</v>
      </c>
      <c r="K80" s="3" t="str">
        <f t="shared" si="14"/>
        <v>High Discount</v>
      </c>
    </row>
    <row r="81" spans="1:11">
      <c r="A81" s="3" t="s">
        <v>76</v>
      </c>
      <c r="B81" s="7">
        <v>690</v>
      </c>
      <c r="C81" s="7">
        <v>1200</v>
      </c>
      <c r="D81" s="8">
        <f t="shared" si="10"/>
        <v>690</v>
      </c>
      <c r="E81" s="7">
        <f t="shared" si="11"/>
        <v>1200</v>
      </c>
      <c r="F81" s="11">
        <v>0.43</v>
      </c>
      <c r="G81" s="23">
        <v>0</v>
      </c>
      <c r="H81" s="9">
        <v>0</v>
      </c>
      <c r="I81" s="7">
        <f t="shared" si="12"/>
        <v>510</v>
      </c>
      <c r="J81" s="3" t="str">
        <f t="shared" si="13"/>
        <v>Poor</v>
      </c>
      <c r="K81" s="3" t="str">
        <f t="shared" si="14"/>
        <v>High Discount</v>
      </c>
    </row>
    <row r="82" spans="1:11">
      <c r="A82" s="3" t="s">
        <v>83</v>
      </c>
      <c r="B82" s="7">
        <v>630</v>
      </c>
      <c r="C82" s="7">
        <v>1100</v>
      </c>
      <c r="D82" s="8">
        <f t="shared" si="10"/>
        <v>630</v>
      </c>
      <c r="E82" s="7">
        <f t="shared" si="11"/>
        <v>1100</v>
      </c>
      <c r="F82" s="11">
        <v>0.43</v>
      </c>
      <c r="G82" s="23">
        <v>0</v>
      </c>
      <c r="H82" s="9">
        <v>0</v>
      </c>
      <c r="I82" s="7">
        <f t="shared" si="12"/>
        <v>470</v>
      </c>
      <c r="J82" s="3" t="str">
        <f t="shared" si="13"/>
        <v>Poor</v>
      </c>
      <c r="K82" s="3" t="str">
        <f t="shared" si="14"/>
        <v>High Discount</v>
      </c>
    </row>
    <row r="83" spans="1:11">
      <c r="A83" s="3" t="s">
        <v>32</v>
      </c>
      <c r="B83" s="7">
        <v>1860</v>
      </c>
      <c r="C83" s="7">
        <v>3220</v>
      </c>
      <c r="D83" s="8">
        <f t="shared" si="10"/>
        <v>1860</v>
      </c>
      <c r="E83" s="7">
        <f t="shared" si="11"/>
        <v>3220</v>
      </c>
      <c r="F83" s="11">
        <v>0.42</v>
      </c>
      <c r="G83" s="23">
        <v>0</v>
      </c>
      <c r="H83" s="9">
        <v>0</v>
      </c>
      <c r="I83" s="7">
        <f t="shared" si="12"/>
        <v>1360</v>
      </c>
      <c r="J83" s="3" t="str">
        <f t="shared" si="13"/>
        <v>Poor</v>
      </c>
      <c r="K83" s="3" t="str">
        <f t="shared" si="14"/>
        <v>High Discount</v>
      </c>
    </row>
    <row r="84" spans="1:11">
      <c r="A84" s="3" t="s">
        <v>87</v>
      </c>
      <c r="B84" s="7">
        <v>610</v>
      </c>
      <c r="C84" s="7">
        <v>1060</v>
      </c>
      <c r="D84" s="8">
        <f t="shared" si="10"/>
        <v>610</v>
      </c>
      <c r="E84" s="7">
        <f t="shared" si="11"/>
        <v>1060</v>
      </c>
      <c r="F84" s="11">
        <v>0.42</v>
      </c>
      <c r="G84" s="23">
        <v>0</v>
      </c>
      <c r="H84" s="9">
        <v>0</v>
      </c>
      <c r="I84" s="7">
        <f t="shared" si="12"/>
        <v>450</v>
      </c>
      <c r="J84" s="3" t="str">
        <f t="shared" si="13"/>
        <v>Poor</v>
      </c>
      <c r="K84" s="3" t="str">
        <f t="shared" si="14"/>
        <v>High Discount</v>
      </c>
    </row>
    <row r="85" spans="1:11">
      <c r="A85" s="3" t="s">
        <v>53</v>
      </c>
      <c r="B85" s="7">
        <v>1080</v>
      </c>
      <c r="C85" s="7">
        <v>1874</v>
      </c>
      <c r="D85" s="8">
        <f t="shared" si="10"/>
        <v>1080</v>
      </c>
      <c r="E85" s="7">
        <f t="shared" si="11"/>
        <v>1874</v>
      </c>
      <c r="F85" s="11">
        <v>0.42</v>
      </c>
      <c r="G85" s="23">
        <v>0</v>
      </c>
      <c r="H85" s="9">
        <v>0</v>
      </c>
      <c r="I85" s="7">
        <f t="shared" si="12"/>
        <v>794</v>
      </c>
      <c r="J85" s="3" t="str">
        <f t="shared" si="13"/>
        <v>Poor</v>
      </c>
      <c r="K85" s="3" t="str">
        <f t="shared" si="14"/>
        <v>High Discount</v>
      </c>
    </row>
    <row r="86" spans="1:11">
      <c r="A86" s="3" t="s">
        <v>74</v>
      </c>
      <c r="B86" s="7">
        <v>799</v>
      </c>
      <c r="C86" s="7">
        <v>1343</v>
      </c>
      <c r="D86" s="8">
        <f t="shared" si="10"/>
        <v>799</v>
      </c>
      <c r="E86" s="7">
        <f t="shared" si="11"/>
        <v>1343</v>
      </c>
      <c r="F86" s="11">
        <v>0.41</v>
      </c>
      <c r="G86" s="23">
        <v>0</v>
      </c>
      <c r="H86" s="9">
        <v>0</v>
      </c>
      <c r="I86" s="7">
        <f t="shared" si="12"/>
        <v>544</v>
      </c>
      <c r="J86" s="3" t="str">
        <f t="shared" si="13"/>
        <v>Poor</v>
      </c>
      <c r="K86" s="3" t="str">
        <f t="shared" si="14"/>
        <v>High Discount</v>
      </c>
    </row>
    <row r="87" spans="1:11">
      <c r="A87" s="3" t="s">
        <v>40</v>
      </c>
      <c r="B87" s="7">
        <v>1420</v>
      </c>
      <c r="C87" s="7">
        <v>2420</v>
      </c>
      <c r="D87" s="8">
        <f t="shared" si="10"/>
        <v>1420</v>
      </c>
      <c r="E87" s="7">
        <f t="shared" si="11"/>
        <v>2420</v>
      </c>
      <c r="F87" s="11">
        <v>0.41</v>
      </c>
      <c r="G87" s="23">
        <v>0</v>
      </c>
      <c r="H87" s="9">
        <v>0</v>
      </c>
      <c r="I87" s="7">
        <f t="shared" si="12"/>
        <v>1000</v>
      </c>
      <c r="J87" s="3" t="str">
        <f t="shared" si="13"/>
        <v>Poor</v>
      </c>
      <c r="K87" s="3" t="str">
        <f t="shared" si="14"/>
        <v>High Discount</v>
      </c>
    </row>
    <row r="88" spans="1:11">
      <c r="A88" s="3" t="s">
        <v>28</v>
      </c>
      <c r="B88" s="7">
        <v>2750</v>
      </c>
      <c r="C88" s="7">
        <v>4471</v>
      </c>
      <c r="D88" s="8">
        <f t="shared" si="10"/>
        <v>2750</v>
      </c>
      <c r="E88" s="7">
        <f t="shared" si="11"/>
        <v>4471</v>
      </c>
      <c r="F88" s="11">
        <v>0.38</v>
      </c>
      <c r="G88" s="23">
        <v>0</v>
      </c>
      <c r="H88" s="9">
        <v>0</v>
      </c>
      <c r="I88" s="7">
        <f t="shared" si="12"/>
        <v>1721</v>
      </c>
      <c r="J88" s="3" t="str">
        <f t="shared" si="13"/>
        <v>Poor</v>
      </c>
      <c r="K88" s="3" t="str">
        <f t="shared" si="14"/>
        <v>Medium Discount</v>
      </c>
    </row>
    <row r="89" spans="1:11">
      <c r="A89" s="3" t="s">
        <v>55</v>
      </c>
      <c r="B89" s="7">
        <v>1200</v>
      </c>
      <c r="C89" s="7">
        <v>1950</v>
      </c>
      <c r="D89" s="8">
        <f t="shared" si="10"/>
        <v>1200</v>
      </c>
      <c r="E89" s="7">
        <f t="shared" si="11"/>
        <v>1950</v>
      </c>
      <c r="F89" s="11">
        <v>0.38</v>
      </c>
      <c r="G89" s="23">
        <v>0</v>
      </c>
      <c r="H89" s="9">
        <v>0</v>
      </c>
      <c r="I89" s="7">
        <f t="shared" si="12"/>
        <v>750</v>
      </c>
      <c r="J89" s="3" t="str">
        <f t="shared" si="13"/>
        <v>Poor</v>
      </c>
      <c r="K89" s="3" t="str">
        <f t="shared" si="14"/>
        <v>Medium Discount</v>
      </c>
    </row>
    <row r="90" spans="1:11">
      <c r="A90" s="3" t="s">
        <v>49</v>
      </c>
      <c r="B90" s="7">
        <v>1460</v>
      </c>
      <c r="C90" s="7">
        <v>2290</v>
      </c>
      <c r="D90" s="8">
        <f t="shared" si="10"/>
        <v>1460</v>
      </c>
      <c r="E90" s="7">
        <f t="shared" si="11"/>
        <v>2290</v>
      </c>
      <c r="F90" s="11">
        <v>0.36</v>
      </c>
      <c r="G90" s="23">
        <v>0</v>
      </c>
      <c r="H90" s="9">
        <v>0</v>
      </c>
      <c r="I90" s="7">
        <f t="shared" si="12"/>
        <v>830</v>
      </c>
      <c r="J90" s="3" t="str">
        <f t="shared" si="13"/>
        <v>Poor</v>
      </c>
      <c r="K90" s="3" t="str">
        <f t="shared" si="14"/>
        <v>Medium Discount</v>
      </c>
    </row>
    <row r="91" spans="1:11">
      <c r="A91" s="3" t="s">
        <v>71</v>
      </c>
      <c r="B91" s="7">
        <v>1150</v>
      </c>
      <c r="C91" s="7">
        <v>1737</v>
      </c>
      <c r="D91" s="8">
        <f t="shared" si="10"/>
        <v>1150</v>
      </c>
      <c r="E91" s="7">
        <f t="shared" si="11"/>
        <v>1737</v>
      </c>
      <c r="F91" s="11">
        <v>0.34</v>
      </c>
      <c r="G91" s="23">
        <v>0</v>
      </c>
      <c r="H91" s="9">
        <v>0</v>
      </c>
      <c r="I91" s="7">
        <f t="shared" si="12"/>
        <v>587</v>
      </c>
      <c r="J91" s="3" t="str">
        <f t="shared" si="13"/>
        <v>Poor</v>
      </c>
      <c r="K91" s="3" t="str">
        <f t="shared" si="14"/>
        <v>Medium Discount</v>
      </c>
    </row>
    <row r="92" spans="1:11">
      <c r="A92" s="3" t="s">
        <v>67</v>
      </c>
      <c r="B92" s="7">
        <v>1190</v>
      </c>
      <c r="C92" s="7">
        <v>1810</v>
      </c>
      <c r="D92" s="8">
        <f t="shared" si="10"/>
        <v>1190</v>
      </c>
      <c r="E92" s="7">
        <f t="shared" si="11"/>
        <v>1810</v>
      </c>
      <c r="F92" s="11">
        <v>0.34</v>
      </c>
      <c r="G92" s="23">
        <v>0</v>
      </c>
      <c r="H92" s="9">
        <v>0</v>
      </c>
      <c r="I92" s="7">
        <f t="shared" si="12"/>
        <v>620</v>
      </c>
      <c r="J92" s="3" t="str">
        <f t="shared" si="13"/>
        <v>Poor</v>
      </c>
      <c r="K92" s="3" t="str">
        <f t="shared" si="14"/>
        <v>Medium Discount</v>
      </c>
    </row>
    <row r="93" spans="1:11">
      <c r="A93" s="3" t="s">
        <v>69</v>
      </c>
      <c r="B93" s="7">
        <v>1190</v>
      </c>
      <c r="C93" s="7">
        <v>1785</v>
      </c>
      <c r="D93" s="8">
        <f t="shared" si="10"/>
        <v>1190</v>
      </c>
      <c r="E93" s="7">
        <f t="shared" si="11"/>
        <v>1785</v>
      </c>
      <c r="F93" s="11">
        <v>0.33</v>
      </c>
      <c r="G93" s="23">
        <v>0</v>
      </c>
      <c r="H93" s="9">
        <v>0</v>
      </c>
      <c r="I93" s="7">
        <f t="shared" si="12"/>
        <v>595</v>
      </c>
      <c r="J93" s="3" t="str">
        <f t="shared" si="13"/>
        <v>Poor</v>
      </c>
      <c r="K93" s="3" t="str">
        <f t="shared" si="14"/>
        <v>Medium Discount</v>
      </c>
    </row>
    <row r="94" spans="1:11">
      <c r="A94" s="3" t="s">
        <v>37</v>
      </c>
      <c r="B94" s="7">
        <v>2799</v>
      </c>
      <c r="C94" s="7">
        <v>3810</v>
      </c>
      <c r="D94" s="8">
        <f t="shared" si="10"/>
        <v>2799</v>
      </c>
      <c r="E94" s="7">
        <f t="shared" si="11"/>
        <v>3810</v>
      </c>
      <c r="F94" s="11">
        <v>0.27</v>
      </c>
      <c r="G94" s="23">
        <v>0</v>
      </c>
      <c r="H94" s="9">
        <v>0</v>
      </c>
      <c r="I94" s="7">
        <f t="shared" si="12"/>
        <v>1011</v>
      </c>
      <c r="J94" s="3" t="str">
        <f t="shared" si="13"/>
        <v>Poor</v>
      </c>
      <c r="K94" s="3" t="str">
        <f t="shared" si="14"/>
        <v>Medium Discount</v>
      </c>
    </row>
    <row r="95" spans="1:11">
      <c r="A95" s="3" t="s">
        <v>122</v>
      </c>
      <c r="B95" s="7">
        <v>198</v>
      </c>
      <c r="C95" s="7">
        <v>260</v>
      </c>
      <c r="D95" s="8">
        <f t="shared" si="10"/>
        <v>198</v>
      </c>
      <c r="E95" s="7">
        <f t="shared" si="11"/>
        <v>260</v>
      </c>
      <c r="F95" s="11">
        <v>0.24</v>
      </c>
      <c r="G95" s="23">
        <v>0</v>
      </c>
      <c r="H95" s="9">
        <v>0</v>
      </c>
      <c r="I95" s="7">
        <f t="shared" si="12"/>
        <v>62</v>
      </c>
      <c r="J95" s="3" t="str">
        <f t="shared" si="13"/>
        <v>Poor</v>
      </c>
      <c r="K95" s="3" t="str">
        <f t="shared" si="14"/>
        <v>Medium Discount</v>
      </c>
    </row>
    <row r="96" spans="1:11">
      <c r="A96" s="3" t="s">
        <v>120</v>
      </c>
      <c r="B96" s="7">
        <v>299</v>
      </c>
      <c r="C96" s="7">
        <v>384</v>
      </c>
      <c r="D96" s="8">
        <f t="shared" si="10"/>
        <v>299</v>
      </c>
      <c r="E96" s="7">
        <f t="shared" si="11"/>
        <v>384</v>
      </c>
      <c r="F96" s="11">
        <v>0.22</v>
      </c>
      <c r="G96" s="23">
        <v>0</v>
      </c>
      <c r="H96" s="9">
        <v>0</v>
      </c>
      <c r="I96" s="7">
        <f t="shared" si="12"/>
        <v>85</v>
      </c>
      <c r="J96" s="3" t="str">
        <f t="shared" si="13"/>
        <v>Poor</v>
      </c>
      <c r="K96" s="3" t="str">
        <f t="shared" si="14"/>
        <v>Medium Discount</v>
      </c>
    </row>
    <row r="97" spans="1:11">
      <c r="A97" s="3" t="s">
        <v>107</v>
      </c>
      <c r="B97" s="7">
        <v>1466</v>
      </c>
      <c r="C97" s="7">
        <v>1699</v>
      </c>
      <c r="D97" s="8">
        <f t="shared" si="10"/>
        <v>1466</v>
      </c>
      <c r="E97" s="7">
        <f t="shared" si="11"/>
        <v>1699</v>
      </c>
      <c r="F97" s="11">
        <v>0.14000000000000001</v>
      </c>
      <c r="G97" s="23">
        <v>0</v>
      </c>
      <c r="H97" s="9">
        <v>0</v>
      </c>
      <c r="I97" s="7">
        <f t="shared" si="12"/>
        <v>233</v>
      </c>
      <c r="J97" s="3" t="str">
        <f t="shared" si="13"/>
        <v>Poor</v>
      </c>
      <c r="K97" s="3" t="str">
        <f t="shared" si="14"/>
        <v>Low Discount</v>
      </c>
    </row>
    <row r="98" spans="1:11">
      <c r="A98" s="3" t="s">
        <v>108</v>
      </c>
      <c r="B98" s="7">
        <v>1468</v>
      </c>
      <c r="C98" s="7">
        <v>1699</v>
      </c>
      <c r="D98" s="8">
        <f t="shared" ref="D98:D110" si="15">IF(ISNUMBER(FIND("-",B98)),VALUE(TRIM(LEFT(B98,FIND("-",B98)-1))),VALUE(B98))</f>
        <v>1468</v>
      </c>
      <c r="E98" s="7">
        <f t="shared" ref="E98:E110" si="16">IF(ISNUMBER(FIND("-",C98)),VALUE(TRIM(LEFT(C98,FIND("-",C98)-1))),VALUE(C98))</f>
        <v>1699</v>
      </c>
      <c r="F98" s="11">
        <v>0.14000000000000001</v>
      </c>
      <c r="G98" s="23">
        <v>0</v>
      </c>
      <c r="H98" s="9">
        <v>0</v>
      </c>
      <c r="I98" s="7">
        <f t="shared" ref="I98:I110" si="17">E98-D98</f>
        <v>231</v>
      </c>
      <c r="J98" s="3" t="str">
        <f t="shared" ref="J98:J110" si="18">IF(H98&lt;3,"Poor",IF(H98&lt;=4.4,"Average","Excellent"))</f>
        <v>Poor</v>
      </c>
      <c r="K98" s="3" t="str">
        <f t="shared" ref="K98:K110" si="19">IF(F98&lt;0.2,"Low Discount",IF(AND(F98&gt;=0.2,F98&lt;=0.4),"Medium Discount","High Discount"))</f>
        <v>Low Discount</v>
      </c>
    </row>
    <row r="99" spans="1:11">
      <c r="A99" s="3" t="s">
        <v>118</v>
      </c>
      <c r="B99" s="7">
        <v>799</v>
      </c>
      <c r="C99" s="7">
        <v>900</v>
      </c>
      <c r="D99" s="8">
        <f t="shared" si="15"/>
        <v>799</v>
      </c>
      <c r="E99" s="7">
        <f t="shared" si="16"/>
        <v>900</v>
      </c>
      <c r="F99" s="11">
        <v>0.11</v>
      </c>
      <c r="G99" s="23">
        <v>0</v>
      </c>
      <c r="H99" s="9">
        <v>0</v>
      </c>
      <c r="I99" s="7">
        <f t="shared" si="17"/>
        <v>101</v>
      </c>
      <c r="J99" s="3" t="str">
        <f t="shared" si="18"/>
        <v>Poor</v>
      </c>
      <c r="K99" s="3" t="str">
        <f t="shared" si="19"/>
        <v>Low Discount</v>
      </c>
    </row>
    <row r="100" spans="1:11">
      <c r="A100" s="3" t="s">
        <v>117</v>
      </c>
      <c r="B100" s="7">
        <v>1526</v>
      </c>
      <c r="C100" s="7">
        <v>1660</v>
      </c>
      <c r="D100" s="8">
        <f t="shared" si="15"/>
        <v>1526</v>
      </c>
      <c r="E100" s="7">
        <f t="shared" si="16"/>
        <v>1660</v>
      </c>
      <c r="F100" s="11">
        <v>0.08</v>
      </c>
      <c r="G100" s="23">
        <v>0</v>
      </c>
      <c r="H100" s="9">
        <v>0</v>
      </c>
      <c r="I100" s="7">
        <f t="shared" si="17"/>
        <v>134</v>
      </c>
      <c r="J100" s="3" t="str">
        <f t="shared" si="18"/>
        <v>Poor</v>
      </c>
      <c r="K100" s="3" t="str">
        <f t="shared" si="19"/>
        <v>Low Discount</v>
      </c>
    </row>
    <row r="101" spans="1:11">
      <c r="A101" s="3" t="s">
        <v>121</v>
      </c>
      <c r="B101" s="7">
        <v>1732</v>
      </c>
      <c r="C101" s="7">
        <v>1799</v>
      </c>
      <c r="D101" s="8">
        <f t="shared" si="15"/>
        <v>1732</v>
      </c>
      <c r="E101" s="7">
        <f t="shared" si="16"/>
        <v>1799</v>
      </c>
      <c r="F101" s="11">
        <v>0.04</v>
      </c>
      <c r="G101" s="23">
        <v>0</v>
      </c>
      <c r="H101" s="9">
        <v>0</v>
      </c>
      <c r="I101" s="7">
        <f t="shared" si="17"/>
        <v>67</v>
      </c>
      <c r="J101" s="3" t="str">
        <f t="shared" si="18"/>
        <v>Poor</v>
      </c>
      <c r="K101" s="3" t="str">
        <f t="shared" si="19"/>
        <v>Low Discount</v>
      </c>
    </row>
    <row r="102" spans="1:11">
      <c r="A102" s="3" t="s">
        <v>115</v>
      </c>
      <c r="B102" s="7">
        <v>3546</v>
      </c>
      <c r="C102" s="7">
        <v>3699</v>
      </c>
      <c r="D102" s="8">
        <f t="shared" si="15"/>
        <v>3546</v>
      </c>
      <c r="E102" s="7">
        <f t="shared" si="16"/>
        <v>3699</v>
      </c>
      <c r="F102" s="11">
        <v>0.04</v>
      </c>
      <c r="G102" s="23">
        <v>0</v>
      </c>
      <c r="H102" s="9">
        <v>0</v>
      </c>
      <c r="I102" s="7">
        <f t="shared" si="17"/>
        <v>153</v>
      </c>
      <c r="J102" s="3" t="str">
        <f t="shared" si="18"/>
        <v>Poor</v>
      </c>
      <c r="K102" s="3" t="str">
        <f t="shared" si="19"/>
        <v>Low Discount</v>
      </c>
    </row>
    <row r="103" spans="1:11">
      <c r="A103" s="3" t="s">
        <v>125</v>
      </c>
      <c r="B103" s="7">
        <v>1459</v>
      </c>
      <c r="C103" s="7">
        <v>1499</v>
      </c>
      <c r="D103" s="8">
        <f t="shared" si="15"/>
        <v>1459</v>
      </c>
      <c r="E103" s="7">
        <f t="shared" si="16"/>
        <v>1499</v>
      </c>
      <c r="F103" s="11">
        <v>0.03</v>
      </c>
      <c r="G103" s="23">
        <v>0</v>
      </c>
      <c r="H103" s="9">
        <v>0</v>
      </c>
      <c r="I103" s="7">
        <f t="shared" si="17"/>
        <v>40</v>
      </c>
      <c r="J103" s="3" t="str">
        <f t="shared" si="18"/>
        <v>Poor</v>
      </c>
      <c r="K103" s="3" t="str">
        <f t="shared" si="19"/>
        <v>Low Discount</v>
      </c>
    </row>
    <row r="104" spans="1:11">
      <c r="A104" s="3" t="s">
        <v>127</v>
      </c>
      <c r="B104" s="7">
        <v>2132</v>
      </c>
      <c r="C104" s="7">
        <v>2169</v>
      </c>
      <c r="D104" s="8">
        <f t="shared" si="15"/>
        <v>2132</v>
      </c>
      <c r="E104" s="7">
        <f t="shared" si="16"/>
        <v>2169</v>
      </c>
      <c r="F104" s="11">
        <v>0.02</v>
      </c>
      <c r="G104" s="23">
        <v>0</v>
      </c>
      <c r="H104" s="9">
        <v>0</v>
      </c>
      <c r="I104" s="7">
        <f t="shared" si="17"/>
        <v>37</v>
      </c>
      <c r="J104" s="3" t="str">
        <f t="shared" si="18"/>
        <v>Poor</v>
      </c>
      <c r="K104" s="3" t="str">
        <f t="shared" si="19"/>
        <v>Low Discount</v>
      </c>
    </row>
    <row r="105" spans="1:11">
      <c r="A105" s="3" t="s">
        <v>126</v>
      </c>
      <c r="B105" s="7">
        <v>1660</v>
      </c>
      <c r="C105" s="7">
        <v>1699</v>
      </c>
      <c r="D105" s="8">
        <f t="shared" si="15"/>
        <v>1660</v>
      </c>
      <c r="E105" s="7">
        <f t="shared" si="16"/>
        <v>1699</v>
      </c>
      <c r="F105" s="11">
        <v>0.02</v>
      </c>
      <c r="G105" s="23">
        <v>0</v>
      </c>
      <c r="H105" s="9">
        <v>0</v>
      </c>
      <c r="I105" s="7">
        <f t="shared" si="17"/>
        <v>39</v>
      </c>
      <c r="J105" s="3" t="str">
        <f t="shared" si="18"/>
        <v>Poor</v>
      </c>
      <c r="K105" s="3" t="str">
        <f t="shared" si="19"/>
        <v>Low Discount</v>
      </c>
    </row>
    <row r="106" spans="1:11">
      <c r="A106" s="3" t="s">
        <v>129</v>
      </c>
      <c r="B106" s="7">
        <v>1666</v>
      </c>
      <c r="C106" s="7">
        <v>1699</v>
      </c>
      <c r="D106" s="8">
        <f t="shared" si="15"/>
        <v>1666</v>
      </c>
      <c r="E106" s="7">
        <f t="shared" si="16"/>
        <v>1699</v>
      </c>
      <c r="F106" s="11">
        <v>0.02</v>
      </c>
      <c r="G106" s="23">
        <v>0</v>
      </c>
      <c r="H106" s="9">
        <v>0</v>
      </c>
      <c r="I106" s="7">
        <f t="shared" si="17"/>
        <v>33</v>
      </c>
      <c r="J106" s="3" t="str">
        <f t="shared" si="18"/>
        <v>Poor</v>
      </c>
      <c r="K106" s="3" t="str">
        <f t="shared" si="19"/>
        <v>Low Discount</v>
      </c>
    </row>
    <row r="107" spans="1:11">
      <c r="A107" s="3" t="s">
        <v>128</v>
      </c>
      <c r="B107" s="7">
        <v>1462</v>
      </c>
      <c r="C107" s="7">
        <v>1499</v>
      </c>
      <c r="D107" s="8">
        <f t="shared" si="15"/>
        <v>1462</v>
      </c>
      <c r="E107" s="7">
        <f t="shared" si="16"/>
        <v>1499</v>
      </c>
      <c r="F107" s="11">
        <v>0.02</v>
      </c>
      <c r="G107" s="23">
        <v>0</v>
      </c>
      <c r="H107" s="9">
        <v>0</v>
      </c>
      <c r="I107" s="7">
        <f t="shared" si="17"/>
        <v>37</v>
      </c>
      <c r="J107" s="3" t="str">
        <f t="shared" si="18"/>
        <v>Poor</v>
      </c>
      <c r="K107" s="3" t="str">
        <f t="shared" si="19"/>
        <v>Low Discount</v>
      </c>
    </row>
    <row r="108" spans="1:11">
      <c r="A108" s="3" t="s">
        <v>124</v>
      </c>
      <c r="B108" s="7">
        <v>1658</v>
      </c>
      <c r="C108" s="7">
        <v>1699</v>
      </c>
      <c r="D108" s="8">
        <f t="shared" si="15"/>
        <v>1658</v>
      </c>
      <c r="E108" s="7">
        <f t="shared" si="16"/>
        <v>1699</v>
      </c>
      <c r="F108" s="11">
        <v>0.02</v>
      </c>
      <c r="G108" s="23">
        <v>0</v>
      </c>
      <c r="H108" s="9">
        <v>0</v>
      </c>
      <c r="I108" s="7">
        <f t="shared" si="17"/>
        <v>41</v>
      </c>
      <c r="J108" s="3" t="str">
        <f t="shared" si="18"/>
        <v>Poor</v>
      </c>
      <c r="K108" s="3" t="str">
        <f t="shared" si="19"/>
        <v>Low Discount</v>
      </c>
    </row>
    <row r="109" spans="1:11">
      <c r="A109" s="3" t="s">
        <v>130</v>
      </c>
      <c r="B109" s="7">
        <v>1768</v>
      </c>
      <c r="C109" s="7">
        <v>1799</v>
      </c>
      <c r="D109" s="8">
        <f t="shared" si="15"/>
        <v>1768</v>
      </c>
      <c r="E109" s="7">
        <f t="shared" si="16"/>
        <v>1799</v>
      </c>
      <c r="F109" s="11">
        <v>0.02</v>
      </c>
      <c r="G109" s="23">
        <v>0</v>
      </c>
      <c r="H109" s="9">
        <v>0</v>
      </c>
      <c r="I109" s="7">
        <f t="shared" si="17"/>
        <v>31</v>
      </c>
      <c r="J109" s="3" t="str">
        <f t="shared" si="18"/>
        <v>Poor</v>
      </c>
      <c r="K109" s="3" t="str">
        <f t="shared" si="19"/>
        <v>Low Discount</v>
      </c>
    </row>
    <row r="110" spans="1:11">
      <c r="A110" s="3" t="s">
        <v>131</v>
      </c>
      <c r="B110" s="7">
        <v>1875</v>
      </c>
      <c r="C110" s="7">
        <v>1899</v>
      </c>
      <c r="D110" s="8">
        <f t="shared" si="15"/>
        <v>1875</v>
      </c>
      <c r="E110" s="7">
        <f t="shared" si="16"/>
        <v>1899</v>
      </c>
      <c r="F110" s="11">
        <v>0.01</v>
      </c>
      <c r="G110" s="23">
        <v>0</v>
      </c>
      <c r="H110" s="9">
        <v>0</v>
      </c>
      <c r="I110" s="7">
        <f t="shared" si="17"/>
        <v>24</v>
      </c>
      <c r="J110" s="3" t="str">
        <f t="shared" si="18"/>
        <v>Poor</v>
      </c>
      <c r="K110" s="3" t="str">
        <f t="shared" si="19"/>
        <v>Low Discount</v>
      </c>
    </row>
  </sheetData>
  <autoFilter ref="A1:K110"/>
  <sortState ref="A2:K110">
    <sortCondition descending="1" ref="H2:H110"/>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0"/>
  <sheetViews>
    <sheetView zoomScale="80" zoomScaleNormal="80" workbookViewId="0">
      <selection activeCell="A8" sqref="A8:B8"/>
      <pivotSelection pane="bottomRight" showHeader="1" extendable="1" axis="axisRow" start="4" max="8" activeRow="7" previousRow="7" click="1" r:id="rId1">
        <pivotArea dataOnly="0" fieldPosition="0">
          <references count="1">
            <reference field="5" count="1">
              <x v="5"/>
            </reference>
          </references>
        </pivotArea>
      </pivotSelection>
    </sheetView>
  </sheetViews>
  <sheetFormatPr defaultColWidth="8.7109375" defaultRowHeight="15"/>
  <cols>
    <col min="1" max="1" width="11.7109375"/>
    <col min="2" max="2" width="18.140625" bestFit="1" customWidth="1"/>
    <col min="3" max="3" width="17.7109375"/>
    <col min="4" max="4" width="18.7109375"/>
  </cols>
  <sheetData>
    <row r="3" spans="1:2">
      <c r="A3" s="4" t="s">
        <v>18</v>
      </c>
      <c r="B3" t="s">
        <v>19</v>
      </c>
    </row>
    <row r="4" spans="1:2">
      <c r="A4">
        <v>0.53</v>
      </c>
      <c r="B4" s="14">
        <v>7.5</v>
      </c>
    </row>
    <row r="5" spans="1:2">
      <c r="A5">
        <v>0.51</v>
      </c>
      <c r="B5" s="14">
        <v>2</v>
      </c>
    </row>
    <row r="6" spans="1:2">
      <c r="A6">
        <v>0.49</v>
      </c>
      <c r="B6" s="14">
        <v>9.8333333333333339</v>
      </c>
    </row>
    <row r="7" spans="1:2">
      <c r="A7">
        <v>0.46</v>
      </c>
      <c r="B7" s="14">
        <v>1</v>
      </c>
    </row>
    <row r="8" spans="1:2">
      <c r="A8">
        <v>0.4</v>
      </c>
      <c r="B8" s="14">
        <v>1</v>
      </c>
    </row>
    <row r="9" spans="1:2">
      <c r="A9">
        <v>0.21</v>
      </c>
      <c r="B9" s="14">
        <v>1</v>
      </c>
    </row>
    <row r="10" spans="1:2">
      <c r="A10">
        <v>0.55000000000000004</v>
      </c>
      <c r="B10" s="14">
        <v>9</v>
      </c>
    </row>
    <row r="11" spans="1:2">
      <c r="A11">
        <v>0.47</v>
      </c>
      <c r="B11" s="14">
        <v>5.5714285714285712</v>
      </c>
    </row>
    <row r="12" spans="1:2">
      <c r="A12">
        <v>0.26</v>
      </c>
      <c r="B12" s="14">
        <v>5</v>
      </c>
    </row>
    <row r="13" spans="1:2">
      <c r="A13">
        <v>0.37</v>
      </c>
      <c r="B13" s="14">
        <v>4.5</v>
      </c>
    </row>
    <row r="14" spans="1:2">
      <c r="A14">
        <v>0.34</v>
      </c>
      <c r="B14" s="14">
        <v>12.75</v>
      </c>
    </row>
    <row r="15" spans="1:2">
      <c r="A15">
        <v>0.27</v>
      </c>
      <c r="B15" s="14">
        <v>17.333333333333332</v>
      </c>
    </row>
    <row r="16" spans="1:2">
      <c r="A16">
        <v>0.35</v>
      </c>
      <c r="B16" s="14">
        <v>27.5</v>
      </c>
    </row>
    <row r="17" spans="1:2">
      <c r="A17">
        <v>0.25</v>
      </c>
      <c r="B17" s="14">
        <v>24</v>
      </c>
    </row>
    <row r="18" spans="1:2">
      <c r="A18">
        <v>0.24</v>
      </c>
      <c r="B18" s="14">
        <v>27.5</v>
      </c>
    </row>
    <row r="19" spans="1:2">
      <c r="A19">
        <v>0.19</v>
      </c>
      <c r="B19" s="14">
        <v>5</v>
      </c>
    </row>
    <row r="20" spans="1:2">
      <c r="A20">
        <v>0.42</v>
      </c>
      <c r="B20" s="14">
        <v>1.5</v>
      </c>
    </row>
    <row r="21" spans="1:2">
      <c r="A21">
        <v>0.38</v>
      </c>
      <c r="B21" s="14">
        <v>1</v>
      </c>
    </row>
    <row r="22" spans="1:2">
      <c r="A22">
        <v>0.23</v>
      </c>
      <c r="B22" s="14">
        <v>14</v>
      </c>
    </row>
    <row r="23" spans="1:2">
      <c r="A23">
        <v>0.54</v>
      </c>
      <c r="B23" s="14">
        <v>8.5</v>
      </c>
    </row>
    <row r="24" spans="1:2">
      <c r="A24">
        <v>0.52</v>
      </c>
      <c r="B24" s="14">
        <v>12</v>
      </c>
    </row>
    <row r="25" spans="1:2">
      <c r="A25">
        <v>0.48</v>
      </c>
      <c r="B25" s="14">
        <v>2.25</v>
      </c>
    </row>
    <row r="26" spans="1:2">
      <c r="A26">
        <v>0.41</v>
      </c>
      <c r="B26" s="14">
        <v>12</v>
      </c>
    </row>
    <row r="27" spans="1:2">
      <c r="A27">
        <v>0.33</v>
      </c>
      <c r="B27" s="14">
        <v>4.5</v>
      </c>
    </row>
    <row r="28" spans="1:2">
      <c r="A28">
        <v>0.3</v>
      </c>
      <c r="B28" s="14">
        <v>20</v>
      </c>
    </row>
    <row r="29" spans="1:2">
      <c r="A29">
        <v>0.2</v>
      </c>
      <c r="B29" s="14">
        <v>12</v>
      </c>
    </row>
    <row r="30" spans="1:2">
      <c r="A30">
        <v>0.09</v>
      </c>
      <c r="B30" s="14">
        <v>15</v>
      </c>
    </row>
    <row r="31" spans="1:2">
      <c r="A31">
        <v>0.45</v>
      </c>
      <c r="B31" s="14">
        <v>7</v>
      </c>
    </row>
    <row r="32" spans="1:2">
      <c r="A32">
        <v>0.32</v>
      </c>
      <c r="B32" s="14">
        <v>13</v>
      </c>
    </row>
    <row r="33" spans="1:2">
      <c r="A33">
        <v>0.18</v>
      </c>
      <c r="B33" s="14">
        <v>12</v>
      </c>
    </row>
    <row r="34" spans="1:2">
      <c r="A34">
        <v>0.43</v>
      </c>
      <c r="B34" s="14">
        <v>2.75</v>
      </c>
    </row>
    <row r="35" spans="1:2">
      <c r="A35">
        <v>0.39</v>
      </c>
      <c r="B35" s="14">
        <v>5</v>
      </c>
    </row>
    <row r="36" spans="1:2">
      <c r="A36">
        <v>0.28999999999999998</v>
      </c>
      <c r="B36" s="14">
        <v>5</v>
      </c>
    </row>
    <row r="37" spans="1:2">
      <c r="A37">
        <v>0.22</v>
      </c>
      <c r="B37" s="14">
        <v>8</v>
      </c>
    </row>
    <row r="38" spans="1:2">
      <c r="A38">
        <v>0.13</v>
      </c>
      <c r="B38" s="14">
        <v>6</v>
      </c>
    </row>
    <row r="39" spans="1:2">
      <c r="A39">
        <v>0.5</v>
      </c>
      <c r="B39" s="14">
        <v>1.1428571428571428</v>
      </c>
    </row>
    <row r="40" spans="1:2">
      <c r="A40">
        <v>0.64</v>
      </c>
      <c r="B40" s="14">
        <v>0</v>
      </c>
    </row>
    <row r="41" spans="1:2">
      <c r="A41">
        <v>0.61</v>
      </c>
      <c r="B41" s="14">
        <v>0</v>
      </c>
    </row>
    <row r="42" spans="1:2">
      <c r="A42">
        <v>0.36</v>
      </c>
      <c r="B42" s="14">
        <v>0</v>
      </c>
    </row>
    <row r="43" spans="1:2">
      <c r="A43">
        <v>0.14000000000000001</v>
      </c>
      <c r="B43" s="14">
        <v>0</v>
      </c>
    </row>
    <row r="44" spans="1:2">
      <c r="A44">
        <v>0.11</v>
      </c>
      <c r="B44" s="14">
        <v>0</v>
      </c>
    </row>
    <row r="45" spans="1:2">
      <c r="A45">
        <v>0.08</v>
      </c>
      <c r="B45" s="14">
        <v>0</v>
      </c>
    </row>
    <row r="46" spans="1:2">
      <c r="A46">
        <v>0.04</v>
      </c>
      <c r="B46" s="14">
        <v>0</v>
      </c>
    </row>
    <row r="47" spans="1:2">
      <c r="A47">
        <v>0.03</v>
      </c>
      <c r="B47" s="14">
        <v>0</v>
      </c>
    </row>
    <row r="48" spans="1:2">
      <c r="A48">
        <v>0.02</v>
      </c>
      <c r="B48" s="14">
        <v>0</v>
      </c>
    </row>
    <row r="49" spans="1:2">
      <c r="A49">
        <v>0.01</v>
      </c>
      <c r="B49" s="14">
        <v>0</v>
      </c>
    </row>
    <row r="50" spans="1:2">
      <c r="A50" t="s">
        <v>17</v>
      </c>
      <c r="B50" s="14">
        <v>6.6330275229357802</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P9" sqref="P9"/>
    </sheetView>
  </sheetViews>
  <sheetFormatPr defaultColWidth="8.7109375" defaultRowHeight="15"/>
  <cols>
    <col min="1" max="1" width="11.28515625" bestFit="1" customWidth="1"/>
    <col min="2" max="2" width="17.85546875" bestFit="1" customWidth="1"/>
  </cols>
  <sheetData>
    <row r="3" spans="1:2">
      <c r="A3" s="4" t="s">
        <v>20</v>
      </c>
      <c r="B3" t="s">
        <v>19</v>
      </c>
    </row>
    <row r="4" spans="1:2">
      <c r="A4">
        <v>5</v>
      </c>
      <c r="B4" s="14">
        <v>1.5</v>
      </c>
    </row>
    <row r="5" spans="1:2">
      <c r="A5">
        <v>4.8</v>
      </c>
      <c r="B5" s="14">
        <v>7.333333333333333</v>
      </c>
    </row>
    <row r="6" spans="1:2">
      <c r="A6">
        <v>4.7</v>
      </c>
      <c r="B6" s="14">
        <v>19.5</v>
      </c>
    </row>
    <row r="7" spans="1:2">
      <c r="A7">
        <v>4.5999999999999996</v>
      </c>
      <c r="B7" s="14">
        <v>35.4</v>
      </c>
    </row>
    <row r="8" spans="1:2">
      <c r="A8">
        <v>4.5</v>
      </c>
      <c r="B8" s="14">
        <v>10.5</v>
      </c>
    </row>
    <row r="9" spans="1:2">
      <c r="A9">
        <v>4.4000000000000004</v>
      </c>
      <c r="B9" s="14">
        <v>14</v>
      </c>
    </row>
    <row r="10" spans="1:2">
      <c r="A10">
        <v>4.3</v>
      </c>
      <c r="B10" s="14">
        <v>15.25</v>
      </c>
    </row>
    <row r="11" spans="1:2">
      <c r="A11">
        <v>4.2</v>
      </c>
      <c r="B11" s="14">
        <v>9</v>
      </c>
    </row>
    <row r="12" spans="1:2">
      <c r="A12">
        <v>4.0999999999999996</v>
      </c>
      <c r="B12" s="14">
        <v>15.333333333333334</v>
      </c>
    </row>
    <row r="13" spans="1:2">
      <c r="A13">
        <v>4</v>
      </c>
      <c r="B13" s="14">
        <v>6</v>
      </c>
    </row>
    <row r="14" spans="1:2">
      <c r="A14">
        <v>3.8</v>
      </c>
      <c r="B14" s="14">
        <v>10</v>
      </c>
    </row>
    <row r="15" spans="1:2">
      <c r="A15">
        <v>3.3</v>
      </c>
      <c r="B15" s="14">
        <v>13</v>
      </c>
    </row>
    <row r="16" spans="1:2">
      <c r="A16">
        <v>3</v>
      </c>
      <c r="B16" s="14">
        <v>5.2</v>
      </c>
    </row>
    <row r="17" spans="1:2">
      <c r="A17">
        <v>2.9</v>
      </c>
      <c r="B17" s="14">
        <v>16</v>
      </c>
    </row>
    <row r="18" spans="1:2">
      <c r="A18">
        <v>2.8</v>
      </c>
      <c r="B18" s="14">
        <v>69</v>
      </c>
    </row>
    <row r="19" spans="1:2">
      <c r="A19">
        <v>2.7</v>
      </c>
      <c r="B19" s="14">
        <v>15</v>
      </c>
    </row>
    <row r="20" spans="1:2">
      <c r="A20">
        <v>2.6</v>
      </c>
      <c r="B20" s="14">
        <v>17</v>
      </c>
    </row>
    <row r="21" spans="1:2">
      <c r="A21">
        <v>2.5</v>
      </c>
      <c r="B21" s="14">
        <v>6</v>
      </c>
    </row>
    <row r="22" spans="1:2">
      <c r="A22">
        <v>2.2999999999999998</v>
      </c>
      <c r="B22" s="14">
        <v>6.5</v>
      </c>
    </row>
    <row r="23" spans="1:2">
      <c r="A23">
        <v>2.2000000000000002</v>
      </c>
      <c r="B23" s="14">
        <v>6</v>
      </c>
    </row>
    <row r="24" spans="1:2">
      <c r="A24">
        <v>2.1</v>
      </c>
      <c r="B24" s="14">
        <v>10</v>
      </c>
    </row>
    <row r="25" spans="1:2">
      <c r="A25">
        <v>2</v>
      </c>
      <c r="B25" s="14">
        <v>1</v>
      </c>
    </row>
    <row r="26" spans="1:2">
      <c r="A26">
        <v>0</v>
      </c>
      <c r="B26" s="14">
        <v>0</v>
      </c>
    </row>
    <row r="27" spans="1:2">
      <c r="A27">
        <v>10</v>
      </c>
      <c r="B27" s="14">
        <v>3</v>
      </c>
    </row>
    <row r="28" spans="1:2">
      <c r="A28" t="s">
        <v>17</v>
      </c>
      <c r="B28" s="14">
        <v>6.6330275229357802</v>
      </c>
    </row>
  </sheetData>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C6" sqref="C6"/>
    </sheetView>
  </sheetViews>
  <sheetFormatPr defaultColWidth="8.7109375" defaultRowHeight="15"/>
  <cols>
    <col min="1" max="1" width="72.140625" bestFit="1" customWidth="1"/>
    <col min="2" max="2" width="36.42578125" style="10" bestFit="1" customWidth="1"/>
    <col min="3" max="3" width="37.28515625"/>
    <col min="4" max="110" width="98"/>
    <col min="111" max="111" width="11.5703125"/>
  </cols>
  <sheetData>
    <row r="3" spans="1:2">
      <c r="A3" s="4" t="s">
        <v>21</v>
      </c>
      <c r="B3" t="s">
        <v>22</v>
      </c>
    </row>
    <row r="4" spans="1:2">
      <c r="A4" t="s">
        <v>23</v>
      </c>
      <c r="B4" s="14">
        <v>2585</v>
      </c>
    </row>
    <row r="5" spans="1:2">
      <c r="A5" t="s">
        <v>24</v>
      </c>
      <c r="B5" s="14">
        <v>2452</v>
      </c>
    </row>
    <row r="6" spans="1:2">
      <c r="A6" t="s">
        <v>25</v>
      </c>
      <c r="B6" s="14">
        <v>2393</v>
      </c>
    </row>
    <row r="7" spans="1:2">
      <c r="A7" t="s">
        <v>26</v>
      </c>
      <c r="B7" s="14">
        <v>1946</v>
      </c>
    </row>
    <row r="8" spans="1:2">
      <c r="A8" t="s">
        <v>27</v>
      </c>
      <c r="B8" s="14">
        <v>1880</v>
      </c>
    </row>
    <row r="9" spans="1:2">
      <c r="A9" t="s">
        <v>28</v>
      </c>
      <c r="B9" s="14">
        <v>1721</v>
      </c>
    </row>
    <row r="10" spans="1:2">
      <c r="A10" t="s">
        <v>29</v>
      </c>
      <c r="B10" s="14">
        <v>1670</v>
      </c>
    </row>
    <row r="11" spans="1:2">
      <c r="A11" t="s">
        <v>30</v>
      </c>
      <c r="B11" s="14">
        <v>1526</v>
      </c>
    </row>
    <row r="12" spans="1:2">
      <c r="A12" t="s">
        <v>31</v>
      </c>
      <c r="B12" s="14">
        <v>1418</v>
      </c>
    </row>
    <row r="13" spans="1:2">
      <c r="A13" t="s">
        <v>32</v>
      </c>
      <c r="B13" s="14">
        <v>1360</v>
      </c>
    </row>
    <row r="14" spans="1:2">
      <c r="A14" t="s">
        <v>17</v>
      </c>
      <c r="B14" s="14">
        <v>18951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E3" sqref="E3"/>
    </sheetView>
  </sheetViews>
  <sheetFormatPr defaultColWidth="8.7109375" defaultRowHeight="15"/>
  <cols>
    <col min="1" max="1" width="66" bestFit="1" customWidth="1"/>
    <col min="2" max="2" width="27.85546875" style="12" bestFit="1" customWidth="1"/>
  </cols>
  <sheetData>
    <row r="3" spans="1:2">
      <c r="A3" s="4" t="s">
        <v>21</v>
      </c>
      <c r="B3" s="15" t="s">
        <v>132</v>
      </c>
    </row>
    <row r="4" spans="1:2">
      <c r="A4" t="s">
        <v>88</v>
      </c>
      <c r="B4" s="15">
        <v>69</v>
      </c>
    </row>
    <row r="5" spans="1:2">
      <c r="A5" t="s">
        <v>59</v>
      </c>
      <c r="B5" s="15">
        <v>55</v>
      </c>
    </row>
    <row r="6" spans="1:2">
      <c r="A6" t="s">
        <v>109</v>
      </c>
      <c r="B6" s="15">
        <v>49</v>
      </c>
    </row>
    <row r="7" spans="1:2">
      <c r="A7" t="s">
        <v>42</v>
      </c>
      <c r="B7" s="15">
        <v>44</v>
      </c>
    </row>
    <row r="8" spans="1:2">
      <c r="A8" t="s">
        <v>78</v>
      </c>
      <c r="B8" s="15">
        <v>39</v>
      </c>
    </row>
    <row r="9" spans="1:2">
      <c r="A9" t="s">
        <v>102</v>
      </c>
      <c r="B9" s="15">
        <v>36</v>
      </c>
    </row>
    <row r="10" spans="1:2">
      <c r="A10" t="s">
        <v>58</v>
      </c>
      <c r="B10" s="15">
        <v>32</v>
      </c>
    </row>
    <row r="11" spans="1:2">
      <c r="A11" t="s">
        <v>57</v>
      </c>
      <c r="B11" s="15">
        <v>24</v>
      </c>
    </row>
    <row r="12" spans="1:2">
      <c r="A12" t="s">
        <v>60</v>
      </c>
      <c r="B12" s="15">
        <v>20</v>
      </c>
    </row>
    <row r="13" spans="1:2">
      <c r="A13" t="s">
        <v>56</v>
      </c>
      <c r="B13" s="15">
        <v>20</v>
      </c>
    </row>
    <row r="14" spans="1:2">
      <c r="A14" t="s">
        <v>17</v>
      </c>
      <c r="B14" s="15">
        <v>388</v>
      </c>
    </row>
  </sheetData>
  <conditionalFormatting sqref="F4:F6">
    <cfRule type="top10" dxfId="3" priority="1" rank="10"/>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4"/>
  <sheetViews>
    <sheetView topLeftCell="A19" workbookViewId="0">
      <selection activeCell="C7" sqref="C7"/>
    </sheetView>
  </sheetViews>
  <sheetFormatPr defaultColWidth="8.7109375" defaultRowHeight="15"/>
  <cols>
    <col min="1" max="1" width="95.7109375" bestFit="1" customWidth="1"/>
    <col min="2" max="2" width="25.28515625" style="10" bestFit="1" customWidth="1"/>
    <col min="3" max="3" width="23.7109375"/>
  </cols>
  <sheetData>
    <row r="3" spans="1:3">
      <c r="A3" s="4" t="s">
        <v>21</v>
      </c>
      <c r="B3" t="s">
        <v>133</v>
      </c>
    </row>
    <row r="4" spans="1:3">
      <c r="A4" t="s">
        <v>26</v>
      </c>
      <c r="B4" s="14">
        <v>10</v>
      </c>
      <c r="C4" s="13"/>
    </row>
    <row r="5" spans="1:3">
      <c r="A5" t="s">
        <v>113</v>
      </c>
      <c r="B5" s="14">
        <v>5</v>
      </c>
    </row>
    <row r="6" spans="1:3">
      <c r="A6" t="s">
        <v>43</v>
      </c>
      <c r="B6" s="14">
        <v>5</v>
      </c>
    </row>
    <row r="7" spans="1:3">
      <c r="A7" t="s">
        <v>94</v>
      </c>
      <c r="B7" s="14">
        <v>5</v>
      </c>
    </row>
    <row r="8" spans="1:3">
      <c r="A8" t="s">
        <v>114</v>
      </c>
      <c r="B8" s="14">
        <v>5</v>
      </c>
    </row>
    <row r="9" spans="1:3">
      <c r="A9" t="s">
        <v>44</v>
      </c>
      <c r="B9" s="14">
        <v>5</v>
      </c>
    </row>
    <row r="10" spans="1:3">
      <c r="A10" t="s">
        <v>36</v>
      </c>
      <c r="B10" s="14">
        <v>5</v>
      </c>
    </row>
    <row r="11" spans="1:3">
      <c r="A11" t="s">
        <v>81</v>
      </c>
      <c r="B11" s="14">
        <v>4.8</v>
      </c>
    </row>
    <row r="12" spans="1:3">
      <c r="A12" t="s">
        <v>68</v>
      </c>
      <c r="B12" s="14">
        <v>4.8</v>
      </c>
    </row>
    <row r="13" spans="1:3">
      <c r="A13" t="s">
        <v>30</v>
      </c>
      <c r="B13" s="14">
        <v>4.8</v>
      </c>
    </row>
    <row r="14" spans="1:3">
      <c r="A14" t="s">
        <v>77</v>
      </c>
      <c r="B14" s="14">
        <v>4.7</v>
      </c>
    </row>
    <row r="15" spans="1:3">
      <c r="A15" t="s">
        <v>78</v>
      </c>
      <c r="B15" s="14">
        <v>4.7</v>
      </c>
    </row>
    <row r="16" spans="1:3">
      <c r="A16" t="s">
        <v>60</v>
      </c>
      <c r="B16" s="14">
        <v>4.7</v>
      </c>
    </row>
    <row r="17" spans="1:2">
      <c r="A17" t="s">
        <v>46</v>
      </c>
      <c r="B17" s="14">
        <v>4.7</v>
      </c>
    </row>
    <row r="18" spans="1:2">
      <c r="A18" t="s">
        <v>59</v>
      </c>
      <c r="B18" s="14">
        <v>4.5999999999999996</v>
      </c>
    </row>
    <row r="19" spans="1:2">
      <c r="A19" t="s">
        <v>61</v>
      </c>
      <c r="B19" s="14">
        <v>4.5999999999999996</v>
      </c>
    </row>
    <row r="20" spans="1:2">
      <c r="A20" t="s">
        <v>42</v>
      </c>
      <c r="B20" s="14">
        <v>4.5999999999999996</v>
      </c>
    </row>
    <row r="21" spans="1:2">
      <c r="A21" t="s">
        <v>57</v>
      </c>
      <c r="B21" s="14">
        <v>4.5999999999999996</v>
      </c>
    </row>
    <row r="22" spans="1:2">
      <c r="A22" t="s">
        <v>109</v>
      </c>
      <c r="B22" s="14">
        <v>4.5999999999999996</v>
      </c>
    </row>
    <row r="23" spans="1:2">
      <c r="A23" t="s">
        <v>58</v>
      </c>
      <c r="B23" s="14">
        <v>4.5</v>
      </c>
    </row>
    <row r="24" spans="1:2">
      <c r="A24" t="s">
        <v>91</v>
      </c>
      <c r="B24" s="14">
        <v>4.5</v>
      </c>
    </row>
    <row r="25" spans="1:2">
      <c r="A25" t="s">
        <v>72</v>
      </c>
      <c r="B25" s="14">
        <v>4.5</v>
      </c>
    </row>
    <row r="26" spans="1:2">
      <c r="A26" t="s">
        <v>73</v>
      </c>
      <c r="B26" s="14">
        <v>4.5</v>
      </c>
    </row>
    <row r="27" spans="1:2">
      <c r="A27" t="s">
        <v>80</v>
      </c>
      <c r="B27" s="14">
        <v>4.4000000000000004</v>
      </c>
    </row>
    <row r="28" spans="1:2">
      <c r="A28" t="s">
        <v>29</v>
      </c>
      <c r="B28" s="14">
        <v>4.3</v>
      </c>
    </row>
    <row r="29" spans="1:2">
      <c r="A29" t="s">
        <v>102</v>
      </c>
      <c r="B29" s="14">
        <v>4.3</v>
      </c>
    </row>
    <row r="30" spans="1:2">
      <c r="A30" t="s">
        <v>24</v>
      </c>
      <c r="B30" s="14">
        <v>4.3</v>
      </c>
    </row>
    <row r="31" spans="1:2">
      <c r="A31" t="s">
        <v>112</v>
      </c>
      <c r="B31" s="14">
        <v>4.3</v>
      </c>
    </row>
    <row r="32" spans="1:2">
      <c r="A32" t="s">
        <v>51</v>
      </c>
      <c r="B32" s="14">
        <v>4.2</v>
      </c>
    </row>
    <row r="33" spans="1:2">
      <c r="A33" t="s">
        <v>82</v>
      </c>
      <c r="B33" s="14">
        <v>4.0999999999999996</v>
      </c>
    </row>
    <row r="34" spans="1:2">
      <c r="A34" t="s">
        <v>56</v>
      </c>
      <c r="B34" s="14">
        <v>4.0999999999999996</v>
      </c>
    </row>
    <row r="35" spans="1:2">
      <c r="A35" t="s">
        <v>111</v>
      </c>
      <c r="B35" s="14">
        <v>4.0999999999999996</v>
      </c>
    </row>
    <row r="36" spans="1:2">
      <c r="A36" t="s">
        <v>70</v>
      </c>
      <c r="B36" s="14">
        <v>4</v>
      </c>
    </row>
    <row r="37" spans="1:2">
      <c r="A37" t="s">
        <v>98</v>
      </c>
      <c r="B37" s="14">
        <v>4</v>
      </c>
    </row>
    <row r="38" spans="1:2">
      <c r="A38" t="s">
        <v>101</v>
      </c>
      <c r="B38" s="14">
        <v>4</v>
      </c>
    </row>
    <row r="39" spans="1:2">
      <c r="A39" t="s">
        <v>84</v>
      </c>
      <c r="B39" s="14">
        <v>4</v>
      </c>
    </row>
    <row r="40" spans="1:2">
      <c r="A40" t="s">
        <v>33</v>
      </c>
      <c r="B40" s="14">
        <v>3.8</v>
      </c>
    </row>
    <row r="41" spans="1:2">
      <c r="A41" t="s">
        <v>65</v>
      </c>
      <c r="B41" s="14">
        <v>3.8</v>
      </c>
    </row>
    <row r="42" spans="1:2">
      <c r="A42" t="s">
        <v>66</v>
      </c>
      <c r="B42" s="14">
        <v>3.8</v>
      </c>
    </row>
    <row r="43" spans="1:2">
      <c r="A43" t="s">
        <v>123</v>
      </c>
      <c r="B43" s="14">
        <v>3.3</v>
      </c>
    </row>
    <row r="44" spans="1:2">
      <c r="A44" t="s">
        <v>75</v>
      </c>
      <c r="B44" s="14">
        <v>3</v>
      </c>
    </row>
    <row r="45" spans="1:2">
      <c r="A45" t="s">
        <v>45</v>
      </c>
      <c r="B45" s="14">
        <v>3</v>
      </c>
    </row>
    <row r="46" spans="1:2">
      <c r="A46" t="s">
        <v>25</v>
      </c>
      <c r="B46" s="14">
        <v>3</v>
      </c>
    </row>
    <row r="47" spans="1:2">
      <c r="A47" t="s">
        <v>38</v>
      </c>
      <c r="B47" s="14">
        <v>3</v>
      </c>
    </row>
    <row r="48" spans="1:2">
      <c r="A48" t="s">
        <v>90</v>
      </c>
      <c r="B48" s="14">
        <v>3</v>
      </c>
    </row>
    <row r="49" spans="1:2">
      <c r="A49" t="s">
        <v>95</v>
      </c>
      <c r="B49" s="14">
        <v>2.9</v>
      </c>
    </row>
    <row r="50" spans="1:2">
      <c r="A50" t="s">
        <v>88</v>
      </c>
      <c r="B50" s="14">
        <v>2.8</v>
      </c>
    </row>
    <row r="51" spans="1:2">
      <c r="A51" t="s">
        <v>92</v>
      </c>
      <c r="B51" s="14">
        <v>2.7</v>
      </c>
    </row>
    <row r="52" spans="1:2">
      <c r="A52" t="s">
        <v>97</v>
      </c>
      <c r="B52" s="14">
        <v>2.6</v>
      </c>
    </row>
    <row r="53" spans="1:2">
      <c r="A53" t="s">
        <v>96</v>
      </c>
      <c r="B53" s="14">
        <v>2.5</v>
      </c>
    </row>
    <row r="54" spans="1:2">
      <c r="A54" t="s">
        <v>104</v>
      </c>
      <c r="B54" s="14">
        <v>2.2999999999999998</v>
      </c>
    </row>
    <row r="55" spans="1:2">
      <c r="A55" t="s">
        <v>41</v>
      </c>
      <c r="B55" s="14">
        <v>2.2999999999999998</v>
      </c>
    </row>
    <row r="56" spans="1:2">
      <c r="A56" t="s">
        <v>50</v>
      </c>
      <c r="B56" s="14">
        <v>2.2000000000000002</v>
      </c>
    </row>
    <row r="57" spans="1:2">
      <c r="A57" t="s">
        <v>48</v>
      </c>
      <c r="B57" s="14">
        <v>2.2000000000000002</v>
      </c>
    </row>
    <row r="58" spans="1:2">
      <c r="A58" t="s">
        <v>31</v>
      </c>
      <c r="B58" s="14">
        <v>2.1</v>
      </c>
    </row>
    <row r="59" spans="1:2">
      <c r="A59" t="s">
        <v>23</v>
      </c>
      <c r="B59" s="14">
        <v>2.1</v>
      </c>
    </row>
    <row r="60" spans="1:2">
      <c r="A60" t="s">
        <v>86</v>
      </c>
      <c r="B60" s="14">
        <v>2</v>
      </c>
    </row>
    <row r="61" spans="1:2">
      <c r="A61" t="s">
        <v>126</v>
      </c>
      <c r="B61" s="14">
        <v>0</v>
      </c>
    </row>
    <row r="62" spans="1:2">
      <c r="A62" t="s">
        <v>76</v>
      </c>
      <c r="B62" s="14">
        <v>0</v>
      </c>
    </row>
    <row r="63" spans="1:2">
      <c r="A63" t="s">
        <v>119</v>
      </c>
      <c r="B63" s="14">
        <v>0</v>
      </c>
    </row>
    <row r="64" spans="1:2">
      <c r="A64" t="s">
        <v>74</v>
      </c>
      <c r="B64" s="14">
        <v>0</v>
      </c>
    </row>
    <row r="65" spans="1:2">
      <c r="A65" t="s">
        <v>54</v>
      </c>
      <c r="B65" s="14">
        <v>0</v>
      </c>
    </row>
    <row r="66" spans="1:2">
      <c r="A66" t="s">
        <v>63</v>
      </c>
      <c r="B66" s="14">
        <v>0</v>
      </c>
    </row>
    <row r="67" spans="1:2">
      <c r="A67" t="s">
        <v>128</v>
      </c>
      <c r="B67" s="14">
        <v>0</v>
      </c>
    </row>
    <row r="68" spans="1:2">
      <c r="A68" t="s">
        <v>85</v>
      </c>
      <c r="B68" s="14">
        <v>0</v>
      </c>
    </row>
    <row r="69" spans="1:2">
      <c r="A69" t="s">
        <v>130</v>
      </c>
      <c r="B69" s="14">
        <v>0</v>
      </c>
    </row>
    <row r="70" spans="1:2">
      <c r="A70" t="s">
        <v>32</v>
      </c>
      <c r="B70" s="14">
        <v>0</v>
      </c>
    </row>
    <row r="71" spans="1:2">
      <c r="A71" t="s">
        <v>27</v>
      </c>
      <c r="B71" s="14">
        <v>0</v>
      </c>
    </row>
    <row r="72" spans="1:2">
      <c r="A72" t="s">
        <v>103</v>
      </c>
      <c r="B72" s="14">
        <v>0</v>
      </c>
    </row>
    <row r="73" spans="1:2">
      <c r="A73" t="s">
        <v>118</v>
      </c>
      <c r="B73" s="14">
        <v>0</v>
      </c>
    </row>
    <row r="74" spans="1:2">
      <c r="A74" t="s">
        <v>131</v>
      </c>
      <c r="B74" s="14">
        <v>0</v>
      </c>
    </row>
    <row r="75" spans="1:2">
      <c r="A75" t="s">
        <v>64</v>
      </c>
      <c r="B75" s="14">
        <v>0</v>
      </c>
    </row>
    <row r="76" spans="1:2">
      <c r="A76" t="s">
        <v>67</v>
      </c>
      <c r="B76" s="14">
        <v>0</v>
      </c>
    </row>
    <row r="77" spans="1:2">
      <c r="A77" t="s">
        <v>34</v>
      </c>
      <c r="B77" s="14">
        <v>0</v>
      </c>
    </row>
    <row r="78" spans="1:2">
      <c r="A78" t="s">
        <v>35</v>
      </c>
      <c r="B78" s="14">
        <v>0</v>
      </c>
    </row>
    <row r="79" spans="1:2">
      <c r="A79" t="s">
        <v>124</v>
      </c>
      <c r="B79" s="14">
        <v>0</v>
      </c>
    </row>
    <row r="80" spans="1:2">
      <c r="A80" t="s">
        <v>55</v>
      </c>
      <c r="B80" s="14">
        <v>0</v>
      </c>
    </row>
    <row r="81" spans="1:2">
      <c r="A81" t="s">
        <v>47</v>
      </c>
      <c r="B81" s="14">
        <v>0</v>
      </c>
    </row>
    <row r="82" spans="1:2">
      <c r="A82" t="s">
        <v>49</v>
      </c>
      <c r="B82" s="14">
        <v>0</v>
      </c>
    </row>
    <row r="83" spans="1:2">
      <c r="A83" t="s">
        <v>83</v>
      </c>
      <c r="B83" s="14">
        <v>0</v>
      </c>
    </row>
    <row r="84" spans="1:2">
      <c r="A84" t="s">
        <v>129</v>
      </c>
      <c r="B84" s="14">
        <v>0</v>
      </c>
    </row>
    <row r="85" spans="1:2">
      <c r="A85" t="s">
        <v>125</v>
      </c>
      <c r="B85" s="14">
        <v>0</v>
      </c>
    </row>
    <row r="86" spans="1:2">
      <c r="A86" t="s">
        <v>93</v>
      </c>
      <c r="B86" s="14">
        <v>0</v>
      </c>
    </row>
    <row r="87" spans="1:2">
      <c r="A87" t="s">
        <v>107</v>
      </c>
      <c r="B87" s="14">
        <v>0</v>
      </c>
    </row>
    <row r="88" spans="1:2">
      <c r="A88" t="s">
        <v>52</v>
      </c>
      <c r="B88" s="14">
        <v>0</v>
      </c>
    </row>
    <row r="89" spans="1:2">
      <c r="A89" t="s">
        <v>62</v>
      </c>
      <c r="B89" s="14">
        <v>0</v>
      </c>
    </row>
    <row r="90" spans="1:2">
      <c r="A90" t="s">
        <v>28</v>
      </c>
      <c r="B90" s="14">
        <v>0</v>
      </c>
    </row>
    <row r="91" spans="1:2">
      <c r="A91" t="s">
        <v>120</v>
      </c>
      <c r="B91" s="14">
        <v>0</v>
      </c>
    </row>
    <row r="92" spans="1:2">
      <c r="A92" t="s">
        <v>69</v>
      </c>
      <c r="B92" s="14">
        <v>0</v>
      </c>
    </row>
    <row r="93" spans="1:2">
      <c r="A93" t="s">
        <v>79</v>
      </c>
      <c r="B93" s="14">
        <v>0</v>
      </c>
    </row>
    <row r="94" spans="1:2">
      <c r="A94" t="s">
        <v>110</v>
      </c>
      <c r="B94" s="14">
        <v>0</v>
      </c>
    </row>
    <row r="95" spans="1:2">
      <c r="A95" t="s">
        <v>87</v>
      </c>
      <c r="B95" s="14">
        <v>0</v>
      </c>
    </row>
    <row r="96" spans="1:2">
      <c r="A96" t="s">
        <v>71</v>
      </c>
      <c r="B96" s="14">
        <v>0</v>
      </c>
    </row>
    <row r="97" spans="1:2">
      <c r="A97" t="s">
        <v>37</v>
      </c>
      <c r="B97" s="14">
        <v>0</v>
      </c>
    </row>
    <row r="98" spans="1:2">
      <c r="A98" t="s">
        <v>116</v>
      </c>
      <c r="B98" s="14">
        <v>0</v>
      </c>
    </row>
    <row r="99" spans="1:2">
      <c r="A99" t="s">
        <v>127</v>
      </c>
      <c r="B99" s="14">
        <v>0</v>
      </c>
    </row>
    <row r="100" spans="1:2">
      <c r="A100" t="s">
        <v>53</v>
      </c>
      <c r="B100" s="14">
        <v>0</v>
      </c>
    </row>
    <row r="101" spans="1:2">
      <c r="A101" t="s">
        <v>89</v>
      </c>
      <c r="B101" s="14">
        <v>0</v>
      </c>
    </row>
    <row r="102" spans="1:2">
      <c r="A102" t="s">
        <v>40</v>
      </c>
      <c r="B102" s="14">
        <v>0</v>
      </c>
    </row>
    <row r="103" spans="1:2">
      <c r="A103" t="s">
        <v>100</v>
      </c>
      <c r="B103" s="14">
        <v>0</v>
      </c>
    </row>
    <row r="104" spans="1:2">
      <c r="A104" t="s">
        <v>117</v>
      </c>
      <c r="B104" s="14">
        <v>0</v>
      </c>
    </row>
    <row r="105" spans="1:2">
      <c r="A105" t="s">
        <v>106</v>
      </c>
      <c r="B105" s="14">
        <v>0</v>
      </c>
    </row>
    <row r="106" spans="1:2">
      <c r="A106" t="s">
        <v>108</v>
      </c>
      <c r="B106" s="14">
        <v>0</v>
      </c>
    </row>
    <row r="107" spans="1:2">
      <c r="A107" t="s">
        <v>115</v>
      </c>
      <c r="B107" s="14">
        <v>0</v>
      </c>
    </row>
    <row r="108" spans="1:2">
      <c r="A108" t="s">
        <v>122</v>
      </c>
      <c r="B108" s="14">
        <v>0</v>
      </c>
    </row>
    <row r="109" spans="1:2">
      <c r="A109" t="s">
        <v>105</v>
      </c>
      <c r="B109" s="14">
        <v>0</v>
      </c>
    </row>
    <row r="110" spans="1:2">
      <c r="A110" t="s">
        <v>39</v>
      </c>
      <c r="B110" s="14">
        <v>0</v>
      </c>
    </row>
    <row r="111" spans="1:2">
      <c r="A111" t="s">
        <v>99</v>
      </c>
      <c r="B111" s="14">
        <v>0</v>
      </c>
    </row>
    <row r="112" spans="1:2">
      <c r="A112" t="s">
        <v>121</v>
      </c>
      <c r="B112" s="14">
        <v>0</v>
      </c>
    </row>
    <row r="113" spans="1:2">
      <c r="A113" t="s">
        <v>17</v>
      </c>
      <c r="B113" s="14">
        <v>226.70000000000002</v>
      </c>
    </row>
    <row r="114" spans="1:2">
      <c r="B114"/>
    </row>
  </sheetData>
  <conditionalFormatting sqref="C4">
    <cfRule type="top10" dxfId="2" priority="4" rank="5"/>
    <cfRule type="top10" priority="5" rank="10"/>
  </conditionalFormatting>
  <conditionalFormatting sqref="A4:A113">
    <cfRule type="top10" dxfId="1" priority="3" rank="5"/>
  </conditionalFormatting>
  <conditionalFormatting pivot="1" sqref="B8">
    <cfRule type="top10" priority="2" bottom="1" rank="5"/>
  </conditionalFormatting>
  <conditionalFormatting pivot="1" sqref="B4:B112">
    <cfRule type="top10" dxfId="0" priority="1" bottom="1" rank="5"/>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2"/>
  <sheetViews>
    <sheetView workbookViewId="0">
      <selection sqref="A1:D1048576"/>
    </sheetView>
  </sheetViews>
  <sheetFormatPr defaultRowHeight="15"/>
  <cols>
    <col min="1" max="1" width="16.42578125" bestFit="1" customWidth="1"/>
    <col min="2" max="2" width="17.42578125" bestFit="1" customWidth="1"/>
    <col min="3" max="3" width="14.28515625" bestFit="1" customWidth="1"/>
    <col min="4" max="4" width="12.5703125" bestFit="1" customWidth="1"/>
    <col min="5" max="5" width="11.28515625" bestFit="1" customWidth="1"/>
  </cols>
  <sheetData>
    <row r="3" spans="1:4" ht="15.75">
      <c r="A3" s="16" t="s">
        <v>146</v>
      </c>
      <c r="B3" s="16" t="s">
        <v>144</v>
      </c>
      <c r="C3" s="17"/>
      <c r="D3" s="17"/>
    </row>
    <row r="4" spans="1:4" ht="15.75">
      <c r="A4" s="16" t="s">
        <v>143</v>
      </c>
      <c r="B4" s="17" t="s">
        <v>12</v>
      </c>
      <c r="C4" s="17" t="s">
        <v>13</v>
      </c>
      <c r="D4" s="17" t="s">
        <v>17</v>
      </c>
    </row>
    <row r="5" spans="1:4" ht="15.75">
      <c r="A5" s="18">
        <v>0</v>
      </c>
      <c r="B5" s="19">
        <v>29</v>
      </c>
      <c r="C5" s="19">
        <v>14</v>
      </c>
      <c r="D5" s="19">
        <v>43</v>
      </c>
    </row>
    <row r="6" spans="1:4" ht="15.75">
      <c r="A6" s="18">
        <v>1</v>
      </c>
      <c r="B6" s="19">
        <v>4</v>
      </c>
      <c r="C6" s="19"/>
      <c r="D6" s="19">
        <v>4</v>
      </c>
    </row>
    <row r="7" spans="1:4" ht="15.75">
      <c r="A7" s="18">
        <v>2</v>
      </c>
      <c r="B7" s="19">
        <v>3</v>
      </c>
      <c r="C7" s="19"/>
      <c r="D7" s="19">
        <v>3</v>
      </c>
    </row>
    <row r="8" spans="1:4" ht="15.75">
      <c r="A8" s="18">
        <v>3</v>
      </c>
      <c r="B8" s="19">
        <v>1</v>
      </c>
      <c r="C8" s="19"/>
      <c r="D8" s="19">
        <v>1</v>
      </c>
    </row>
    <row r="9" spans="1:4" ht="15.75">
      <c r="A9" s="18">
        <v>5</v>
      </c>
      <c r="B9" s="19">
        <v>3</v>
      </c>
      <c r="C9" s="19">
        <v>1</v>
      </c>
      <c r="D9" s="19">
        <v>4</v>
      </c>
    </row>
    <row r="10" spans="1:4" ht="15.75">
      <c r="A10" s="18">
        <v>6</v>
      </c>
      <c r="B10" s="19">
        <v>4</v>
      </c>
      <c r="C10" s="19">
        <v>1</v>
      </c>
      <c r="D10" s="19">
        <v>5</v>
      </c>
    </row>
    <row r="11" spans="1:4" ht="15.75">
      <c r="A11" s="18">
        <v>7</v>
      </c>
      <c r="B11" s="19">
        <v>3</v>
      </c>
      <c r="C11" s="19"/>
      <c r="D11" s="19">
        <v>3</v>
      </c>
    </row>
    <row r="12" spans="1:4" ht="15.75">
      <c r="A12" s="18">
        <v>9</v>
      </c>
      <c r="B12" s="19">
        <v>2</v>
      </c>
      <c r="C12" s="19"/>
      <c r="D12" s="19">
        <v>2</v>
      </c>
    </row>
    <row r="13" spans="1:4" ht="15.75">
      <c r="A13" s="18">
        <v>10</v>
      </c>
      <c r="B13" s="19">
        <v>1</v>
      </c>
      <c r="C13" s="19"/>
      <c r="D13" s="19">
        <v>1</v>
      </c>
    </row>
    <row r="14" spans="1:4" ht="15.75">
      <c r="A14" s="18">
        <v>12</v>
      </c>
      <c r="B14" s="19">
        <v>1</v>
      </c>
      <c r="C14" s="19">
        <v>1</v>
      </c>
      <c r="D14" s="19">
        <v>2</v>
      </c>
    </row>
    <row r="15" spans="1:4" ht="15.75">
      <c r="A15" s="18">
        <v>13</v>
      </c>
      <c r="B15" s="19">
        <v>2</v>
      </c>
      <c r="C15" s="19"/>
      <c r="D15" s="19">
        <v>2</v>
      </c>
    </row>
    <row r="16" spans="1:4" ht="15.75">
      <c r="A16" s="18">
        <v>14</v>
      </c>
      <c r="B16" s="19">
        <v>1</v>
      </c>
      <c r="C16" s="19"/>
      <c r="D16" s="19">
        <v>1</v>
      </c>
    </row>
    <row r="17" spans="1:4" ht="15.75">
      <c r="A17" s="18">
        <v>15</v>
      </c>
      <c r="B17" s="19">
        <v>1</v>
      </c>
      <c r="C17" s="19">
        <v>1</v>
      </c>
      <c r="D17" s="19">
        <v>2</v>
      </c>
    </row>
    <row r="18" spans="1:4" ht="15.75">
      <c r="A18" s="18">
        <v>17</v>
      </c>
      <c r="B18" s="19">
        <v>1</v>
      </c>
      <c r="C18" s="19"/>
      <c r="D18" s="19">
        <v>1</v>
      </c>
    </row>
    <row r="19" spans="1:4" ht="15.75">
      <c r="A19" s="18">
        <v>36</v>
      </c>
      <c r="B19" s="19">
        <v>1</v>
      </c>
      <c r="C19" s="19"/>
      <c r="D19" s="19">
        <v>1</v>
      </c>
    </row>
    <row r="20" spans="1:4" ht="15.75">
      <c r="A20" s="18">
        <v>44</v>
      </c>
      <c r="B20" s="19">
        <v>1</v>
      </c>
      <c r="C20" s="19"/>
      <c r="D20" s="19">
        <v>1</v>
      </c>
    </row>
    <row r="21" spans="1:4" ht="15.75">
      <c r="A21" s="18">
        <v>69</v>
      </c>
      <c r="B21" s="19">
        <v>1</v>
      </c>
      <c r="C21" s="19"/>
      <c r="D21" s="19">
        <v>1</v>
      </c>
    </row>
    <row r="22" spans="1:4" ht="15.75">
      <c r="A22" s="18" t="s">
        <v>17</v>
      </c>
      <c r="B22" s="19">
        <v>59</v>
      </c>
      <c r="C22" s="19">
        <v>18</v>
      </c>
      <c r="D22" s="19">
        <v>77</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3"/>
  <sheetViews>
    <sheetView workbookViewId="0">
      <selection activeCell="C9" sqref="C9"/>
    </sheetView>
  </sheetViews>
  <sheetFormatPr defaultColWidth="8.7109375" defaultRowHeight="15"/>
  <cols>
    <col min="1" max="1" width="95.7109375" bestFit="1" customWidth="1"/>
    <col min="2" max="2" width="28.7109375" bestFit="1" customWidth="1"/>
  </cols>
  <sheetData>
    <row r="3" spans="1:2">
      <c r="A3" s="4" t="s">
        <v>21</v>
      </c>
      <c r="B3" t="s">
        <v>134</v>
      </c>
    </row>
    <row r="4" spans="1:2">
      <c r="A4" t="s">
        <v>121</v>
      </c>
      <c r="B4" s="14">
        <v>0</v>
      </c>
    </row>
    <row r="5" spans="1:2">
      <c r="A5" t="s">
        <v>99</v>
      </c>
      <c r="B5" s="14">
        <v>0</v>
      </c>
    </row>
    <row r="6" spans="1:2">
      <c r="A6" t="s">
        <v>100</v>
      </c>
      <c r="B6" s="14">
        <v>0</v>
      </c>
    </row>
    <row r="7" spans="1:2">
      <c r="A7" t="s">
        <v>63</v>
      </c>
      <c r="B7" s="14">
        <v>0</v>
      </c>
    </row>
    <row r="8" spans="1:2">
      <c r="A8" t="s">
        <v>37</v>
      </c>
      <c r="B8" s="14">
        <v>0</v>
      </c>
    </row>
    <row r="9" spans="1:2">
      <c r="A9" t="s">
        <v>103</v>
      </c>
      <c r="B9" s="14">
        <v>0</v>
      </c>
    </row>
    <row r="10" spans="1:2">
      <c r="A10" t="s">
        <v>117</v>
      </c>
      <c r="B10" s="14">
        <v>0</v>
      </c>
    </row>
    <row r="11" spans="1:2">
      <c r="A11" t="s">
        <v>67</v>
      </c>
      <c r="B11" s="14">
        <v>0</v>
      </c>
    </row>
    <row r="12" spans="1:2">
      <c r="A12" t="s">
        <v>131</v>
      </c>
      <c r="B12" s="14">
        <v>0</v>
      </c>
    </row>
    <row r="13" spans="1:2">
      <c r="A13" t="s">
        <v>39</v>
      </c>
      <c r="B13" s="14">
        <v>0</v>
      </c>
    </row>
    <row r="14" spans="1:2">
      <c r="A14" t="s">
        <v>55</v>
      </c>
      <c r="B14" s="14">
        <v>0</v>
      </c>
    </row>
    <row r="15" spans="1:2">
      <c r="A15" t="s">
        <v>64</v>
      </c>
      <c r="B15" s="14">
        <v>0</v>
      </c>
    </row>
    <row r="16" spans="1:2">
      <c r="A16" t="s">
        <v>76</v>
      </c>
      <c r="B16" s="14">
        <v>0</v>
      </c>
    </row>
    <row r="17" spans="1:2">
      <c r="A17" t="s">
        <v>74</v>
      </c>
      <c r="B17" s="14">
        <v>0</v>
      </c>
    </row>
    <row r="18" spans="1:2">
      <c r="A18" t="s">
        <v>85</v>
      </c>
      <c r="B18" s="14">
        <v>0</v>
      </c>
    </row>
    <row r="19" spans="1:2">
      <c r="A19" t="s">
        <v>28</v>
      </c>
      <c r="B19" s="14">
        <v>0</v>
      </c>
    </row>
    <row r="20" spans="1:2">
      <c r="A20" t="s">
        <v>49</v>
      </c>
      <c r="B20" s="14">
        <v>0</v>
      </c>
    </row>
    <row r="21" spans="1:2">
      <c r="A21" t="s">
        <v>71</v>
      </c>
      <c r="B21" s="14">
        <v>0</v>
      </c>
    </row>
    <row r="22" spans="1:2">
      <c r="A22" t="s">
        <v>52</v>
      </c>
      <c r="B22" s="14">
        <v>0</v>
      </c>
    </row>
    <row r="23" spans="1:2">
      <c r="A23" t="s">
        <v>115</v>
      </c>
      <c r="B23" s="14">
        <v>0</v>
      </c>
    </row>
    <row r="24" spans="1:2">
      <c r="A24" t="s">
        <v>110</v>
      </c>
      <c r="B24" s="14">
        <v>0</v>
      </c>
    </row>
    <row r="25" spans="1:2">
      <c r="A25" t="s">
        <v>105</v>
      </c>
      <c r="B25" s="14">
        <v>0</v>
      </c>
    </row>
    <row r="26" spans="1:2">
      <c r="A26" t="s">
        <v>40</v>
      </c>
      <c r="B26" s="14">
        <v>0</v>
      </c>
    </row>
    <row r="27" spans="1:2">
      <c r="A27" t="s">
        <v>83</v>
      </c>
      <c r="B27" s="14">
        <v>0</v>
      </c>
    </row>
    <row r="28" spans="1:2">
      <c r="A28" t="s">
        <v>79</v>
      </c>
      <c r="B28" s="14">
        <v>0</v>
      </c>
    </row>
    <row r="29" spans="1:2">
      <c r="A29" t="s">
        <v>27</v>
      </c>
      <c r="B29" s="14">
        <v>0</v>
      </c>
    </row>
    <row r="30" spans="1:2">
      <c r="A30" t="s">
        <v>116</v>
      </c>
      <c r="B30" s="14">
        <v>0</v>
      </c>
    </row>
    <row r="31" spans="1:2">
      <c r="A31" t="s">
        <v>125</v>
      </c>
      <c r="B31" s="14">
        <v>0</v>
      </c>
    </row>
    <row r="32" spans="1:2">
      <c r="A32" t="s">
        <v>122</v>
      </c>
      <c r="B32" s="14">
        <v>0</v>
      </c>
    </row>
    <row r="33" spans="1:2">
      <c r="A33" t="s">
        <v>107</v>
      </c>
      <c r="B33" s="14">
        <v>0</v>
      </c>
    </row>
    <row r="34" spans="1:2">
      <c r="A34" t="s">
        <v>35</v>
      </c>
      <c r="B34" s="14">
        <v>0</v>
      </c>
    </row>
    <row r="35" spans="1:2">
      <c r="A35" t="s">
        <v>118</v>
      </c>
      <c r="B35" s="14">
        <v>0</v>
      </c>
    </row>
    <row r="36" spans="1:2">
      <c r="A36" t="s">
        <v>106</v>
      </c>
      <c r="B36" s="14">
        <v>0</v>
      </c>
    </row>
    <row r="37" spans="1:2">
      <c r="A37" t="s">
        <v>126</v>
      </c>
      <c r="B37" s="14">
        <v>0</v>
      </c>
    </row>
    <row r="38" spans="1:2">
      <c r="A38" t="s">
        <v>93</v>
      </c>
      <c r="B38" s="14">
        <v>0</v>
      </c>
    </row>
    <row r="39" spans="1:2">
      <c r="A39" t="s">
        <v>120</v>
      </c>
      <c r="B39" s="14">
        <v>0</v>
      </c>
    </row>
    <row r="40" spans="1:2">
      <c r="A40" t="s">
        <v>53</v>
      </c>
      <c r="B40" s="14">
        <v>0</v>
      </c>
    </row>
    <row r="41" spans="1:2">
      <c r="A41" t="s">
        <v>128</v>
      </c>
      <c r="B41" s="14">
        <v>0</v>
      </c>
    </row>
    <row r="42" spans="1:2">
      <c r="A42" t="s">
        <v>87</v>
      </c>
      <c r="B42" s="14">
        <v>0</v>
      </c>
    </row>
    <row r="43" spans="1:2">
      <c r="A43" t="s">
        <v>34</v>
      </c>
      <c r="B43" s="14">
        <v>0</v>
      </c>
    </row>
    <row r="44" spans="1:2">
      <c r="A44" t="s">
        <v>129</v>
      </c>
      <c r="B44" s="14">
        <v>0</v>
      </c>
    </row>
    <row r="45" spans="1:2">
      <c r="A45" t="s">
        <v>119</v>
      </c>
      <c r="B45" s="14">
        <v>0</v>
      </c>
    </row>
    <row r="46" spans="1:2">
      <c r="A46" t="s">
        <v>32</v>
      </c>
      <c r="B46" s="14">
        <v>0</v>
      </c>
    </row>
    <row r="47" spans="1:2">
      <c r="A47" t="s">
        <v>127</v>
      </c>
      <c r="B47" s="14">
        <v>0</v>
      </c>
    </row>
    <row r="48" spans="1:2">
      <c r="A48" t="s">
        <v>54</v>
      </c>
      <c r="B48" s="14">
        <v>0</v>
      </c>
    </row>
    <row r="49" spans="1:2">
      <c r="A49" t="s">
        <v>124</v>
      </c>
      <c r="B49" s="14">
        <v>0</v>
      </c>
    </row>
    <row r="50" spans="1:2">
      <c r="A50" t="s">
        <v>62</v>
      </c>
      <c r="B50" s="14">
        <v>0</v>
      </c>
    </row>
    <row r="51" spans="1:2">
      <c r="A51" t="s">
        <v>89</v>
      </c>
      <c r="B51" s="14">
        <v>0</v>
      </c>
    </row>
    <row r="52" spans="1:2">
      <c r="A52" t="s">
        <v>108</v>
      </c>
      <c r="B52" s="14">
        <v>0</v>
      </c>
    </row>
    <row r="53" spans="1:2">
      <c r="A53" t="s">
        <v>130</v>
      </c>
      <c r="B53" s="14">
        <v>0</v>
      </c>
    </row>
    <row r="54" spans="1:2">
      <c r="A54" t="s">
        <v>69</v>
      </c>
      <c r="B54" s="14">
        <v>0</v>
      </c>
    </row>
    <row r="55" spans="1:2">
      <c r="A55" t="s">
        <v>47</v>
      </c>
      <c r="B55" s="14">
        <v>0</v>
      </c>
    </row>
    <row r="56" spans="1:2">
      <c r="A56" t="s">
        <v>86</v>
      </c>
      <c r="B56" s="14">
        <v>2</v>
      </c>
    </row>
    <row r="57" spans="1:2">
      <c r="A57" t="s">
        <v>31</v>
      </c>
      <c r="B57" s="14">
        <v>2.1</v>
      </c>
    </row>
    <row r="58" spans="1:2">
      <c r="A58" t="s">
        <v>23</v>
      </c>
      <c r="B58" s="14">
        <v>2.1</v>
      </c>
    </row>
    <row r="59" spans="1:2">
      <c r="A59" t="s">
        <v>50</v>
      </c>
      <c r="B59" s="14">
        <v>2.2000000000000002</v>
      </c>
    </row>
    <row r="60" spans="1:2">
      <c r="A60" t="s">
        <v>48</v>
      </c>
      <c r="B60" s="14">
        <v>2.2000000000000002</v>
      </c>
    </row>
    <row r="61" spans="1:2">
      <c r="A61" t="s">
        <v>104</v>
      </c>
      <c r="B61" s="14">
        <v>2.2999999999999998</v>
      </c>
    </row>
    <row r="62" spans="1:2">
      <c r="A62" t="s">
        <v>41</v>
      </c>
      <c r="B62" s="14">
        <v>2.2999999999999998</v>
      </c>
    </row>
    <row r="63" spans="1:2">
      <c r="A63" t="s">
        <v>96</v>
      </c>
      <c r="B63" s="14">
        <v>2.5</v>
      </c>
    </row>
    <row r="64" spans="1:2">
      <c r="A64" t="s">
        <v>97</v>
      </c>
      <c r="B64" s="14">
        <v>2.6</v>
      </c>
    </row>
    <row r="65" spans="1:2">
      <c r="A65" t="s">
        <v>92</v>
      </c>
      <c r="B65" s="14">
        <v>2.7</v>
      </c>
    </row>
    <row r="66" spans="1:2">
      <c r="A66" t="s">
        <v>88</v>
      </c>
      <c r="B66" s="14">
        <v>2.8</v>
      </c>
    </row>
    <row r="67" spans="1:2">
      <c r="A67" t="s">
        <v>95</v>
      </c>
      <c r="B67" s="14">
        <v>2.9</v>
      </c>
    </row>
    <row r="68" spans="1:2">
      <c r="A68" t="s">
        <v>90</v>
      </c>
      <c r="B68" s="14">
        <v>3</v>
      </c>
    </row>
    <row r="69" spans="1:2">
      <c r="A69" t="s">
        <v>75</v>
      </c>
      <c r="B69" s="14">
        <v>3</v>
      </c>
    </row>
    <row r="70" spans="1:2">
      <c r="A70" t="s">
        <v>38</v>
      </c>
      <c r="B70" s="14">
        <v>3</v>
      </c>
    </row>
    <row r="71" spans="1:2">
      <c r="A71" t="s">
        <v>25</v>
      </c>
      <c r="B71" s="14">
        <v>3</v>
      </c>
    </row>
    <row r="72" spans="1:2">
      <c r="A72" t="s">
        <v>45</v>
      </c>
      <c r="B72" s="14">
        <v>3</v>
      </c>
    </row>
    <row r="73" spans="1:2">
      <c r="A73" t="s">
        <v>123</v>
      </c>
      <c r="B73" s="14">
        <v>3.3</v>
      </c>
    </row>
    <row r="74" spans="1:2">
      <c r="A74" t="s">
        <v>65</v>
      </c>
      <c r="B74" s="14">
        <v>3.8</v>
      </c>
    </row>
    <row r="75" spans="1:2">
      <c r="A75" t="s">
        <v>33</v>
      </c>
      <c r="B75" s="14">
        <v>3.8</v>
      </c>
    </row>
    <row r="76" spans="1:2">
      <c r="A76" t="s">
        <v>66</v>
      </c>
      <c r="B76" s="14">
        <v>3.8</v>
      </c>
    </row>
    <row r="77" spans="1:2">
      <c r="A77" t="s">
        <v>101</v>
      </c>
      <c r="B77" s="14">
        <v>4</v>
      </c>
    </row>
    <row r="78" spans="1:2">
      <c r="A78" t="s">
        <v>84</v>
      </c>
      <c r="B78" s="14">
        <v>4</v>
      </c>
    </row>
    <row r="79" spans="1:2">
      <c r="A79" t="s">
        <v>98</v>
      </c>
      <c r="B79" s="14">
        <v>4</v>
      </c>
    </row>
    <row r="80" spans="1:2">
      <c r="A80" t="s">
        <v>70</v>
      </c>
      <c r="B80" s="14">
        <v>4</v>
      </c>
    </row>
    <row r="81" spans="1:2">
      <c r="A81" t="s">
        <v>56</v>
      </c>
      <c r="B81" s="14">
        <v>4.0999999999999996</v>
      </c>
    </row>
    <row r="82" spans="1:2">
      <c r="A82" t="s">
        <v>82</v>
      </c>
      <c r="B82" s="14">
        <v>4.0999999999999996</v>
      </c>
    </row>
    <row r="83" spans="1:2">
      <c r="A83" t="s">
        <v>111</v>
      </c>
      <c r="B83" s="14">
        <v>4.0999999999999996</v>
      </c>
    </row>
    <row r="84" spans="1:2">
      <c r="A84" t="s">
        <v>51</v>
      </c>
      <c r="B84" s="14">
        <v>4.2</v>
      </c>
    </row>
    <row r="85" spans="1:2">
      <c r="A85" t="s">
        <v>102</v>
      </c>
      <c r="B85" s="14">
        <v>4.3</v>
      </c>
    </row>
    <row r="86" spans="1:2">
      <c r="A86" t="s">
        <v>24</v>
      </c>
      <c r="B86" s="14">
        <v>4.3</v>
      </c>
    </row>
    <row r="87" spans="1:2">
      <c r="A87" t="s">
        <v>29</v>
      </c>
      <c r="B87" s="14">
        <v>4.3</v>
      </c>
    </row>
    <row r="88" spans="1:2">
      <c r="A88" t="s">
        <v>112</v>
      </c>
      <c r="B88" s="14">
        <v>4.3</v>
      </c>
    </row>
    <row r="89" spans="1:2">
      <c r="A89" t="s">
        <v>80</v>
      </c>
      <c r="B89" s="14">
        <v>4.4000000000000004</v>
      </c>
    </row>
    <row r="90" spans="1:2">
      <c r="A90" t="s">
        <v>72</v>
      </c>
      <c r="B90" s="14">
        <v>4.5</v>
      </c>
    </row>
    <row r="91" spans="1:2">
      <c r="A91" t="s">
        <v>91</v>
      </c>
      <c r="B91" s="14">
        <v>4.5</v>
      </c>
    </row>
    <row r="92" spans="1:2">
      <c r="A92" t="s">
        <v>58</v>
      </c>
      <c r="B92" s="14">
        <v>4.5</v>
      </c>
    </row>
    <row r="93" spans="1:2">
      <c r="A93" t="s">
        <v>73</v>
      </c>
      <c r="B93" s="14">
        <v>4.5</v>
      </c>
    </row>
    <row r="94" spans="1:2">
      <c r="A94" t="s">
        <v>42</v>
      </c>
      <c r="B94" s="14">
        <v>4.5999999999999996</v>
      </c>
    </row>
    <row r="95" spans="1:2">
      <c r="A95" t="s">
        <v>61</v>
      </c>
      <c r="B95" s="14">
        <v>4.5999999999999996</v>
      </c>
    </row>
    <row r="96" spans="1:2">
      <c r="A96" t="s">
        <v>109</v>
      </c>
      <c r="B96" s="14">
        <v>4.5999999999999996</v>
      </c>
    </row>
    <row r="97" spans="1:2">
      <c r="A97" t="s">
        <v>59</v>
      </c>
      <c r="B97" s="14">
        <v>4.5999999999999996</v>
      </c>
    </row>
    <row r="98" spans="1:2">
      <c r="A98" t="s">
        <v>57</v>
      </c>
      <c r="B98" s="14">
        <v>4.5999999999999996</v>
      </c>
    </row>
    <row r="99" spans="1:2">
      <c r="A99" t="s">
        <v>77</v>
      </c>
      <c r="B99" s="14">
        <v>4.7</v>
      </c>
    </row>
    <row r="100" spans="1:2">
      <c r="A100" t="s">
        <v>46</v>
      </c>
      <c r="B100" s="14">
        <v>4.7</v>
      </c>
    </row>
    <row r="101" spans="1:2">
      <c r="A101" t="s">
        <v>60</v>
      </c>
      <c r="B101" s="14">
        <v>4.7</v>
      </c>
    </row>
    <row r="102" spans="1:2">
      <c r="A102" t="s">
        <v>78</v>
      </c>
      <c r="B102" s="14">
        <v>4.7</v>
      </c>
    </row>
    <row r="103" spans="1:2">
      <c r="A103" t="s">
        <v>30</v>
      </c>
      <c r="B103" s="14">
        <v>4.8</v>
      </c>
    </row>
    <row r="104" spans="1:2">
      <c r="A104" t="s">
        <v>68</v>
      </c>
      <c r="B104" s="14">
        <v>4.8</v>
      </c>
    </row>
    <row r="105" spans="1:2">
      <c r="A105" t="s">
        <v>81</v>
      </c>
      <c r="B105" s="14">
        <v>4.8</v>
      </c>
    </row>
    <row r="106" spans="1:2">
      <c r="A106" t="s">
        <v>36</v>
      </c>
      <c r="B106" s="14">
        <v>5</v>
      </c>
    </row>
    <row r="107" spans="1:2">
      <c r="A107" t="s">
        <v>113</v>
      </c>
      <c r="B107" s="14">
        <v>5</v>
      </c>
    </row>
    <row r="108" spans="1:2">
      <c r="A108" t="s">
        <v>94</v>
      </c>
      <c r="B108" s="14">
        <v>5</v>
      </c>
    </row>
    <row r="109" spans="1:2">
      <c r="A109" t="s">
        <v>43</v>
      </c>
      <c r="B109" s="14">
        <v>5</v>
      </c>
    </row>
    <row r="110" spans="1:2">
      <c r="A110" t="s">
        <v>114</v>
      </c>
      <c r="B110" s="14">
        <v>5</v>
      </c>
    </row>
    <row r="111" spans="1:2">
      <c r="A111" t="s">
        <v>44</v>
      </c>
      <c r="B111" s="14">
        <v>5</v>
      </c>
    </row>
    <row r="112" spans="1:2">
      <c r="A112" t="s">
        <v>26</v>
      </c>
      <c r="B112" s="14">
        <v>10</v>
      </c>
    </row>
    <row r="113" spans="1:2">
      <c r="A113" t="s">
        <v>17</v>
      </c>
      <c r="B113" s="14">
        <v>226.70000000000002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Descriptive  Anal</vt:lpstr>
      <vt:lpstr>DASHBOARD</vt:lpstr>
      <vt:lpstr>Excel_jumia (1) (1)</vt:lpstr>
      <vt:lpstr>Discount% vs Number of reviews</vt:lpstr>
      <vt:lpstr>Rating and Number of Reviews</vt:lpstr>
      <vt:lpstr>Top 10 Product  highest disc.</vt:lpstr>
      <vt:lpstr>Top 10 by high reviews</vt:lpstr>
      <vt:lpstr>Top and Bottom 5 rated</vt:lpstr>
      <vt:lpstr>Comparison High and Low Discoun</vt:lpstr>
      <vt:lpstr>Top 5 least 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Accountsreceivable</cp:lastModifiedBy>
  <dcterms:created xsi:type="dcterms:W3CDTF">2026-03-27T18:46:00Z</dcterms:created>
  <dcterms:modified xsi:type="dcterms:W3CDTF">2026-04-01T14:08:41Z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D01F80DD4E6E4A23B2D15EC5ABB3D10F_13</vt:lpwstr>
  </property>
  <property fmtid="{D5CDD505-2E9C-101B-9397-08002B2CF9AE}" pid="3" name="KSOProductBuildVer">
    <vt:lpwstr>1033-12.2.0.23196</vt:lpwstr>
  </property>
</Properties>
</file>